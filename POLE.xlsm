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440" windowWidth="18195" windowHeight="10185" activeTab="2"/>
  </bookViews>
  <sheets>
    <sheet name="POLE" sheetId="10" r:id="rId1"/>
    <sheet name="Sheet2" sheetId="2" r:id="rId2"/>
    <sheet name="Sheet1" sheetId="11" r:id="rId3"/>
  </sheets>
  <functionGroups builtInGroupCount="17"/>
  <definedNames>
    <definedName name="A" localSheetId="0">POLE!$D$516:$D$551</definedName>
    <definedName name="A">Sheet2!$D$512:$D$547</definedName>
    <definedName name="bolts_type" localSheetId="0">#REF!</definedName>
    <definedName name="bolts_type">#REF!</definedName>
    <definedName name="design_name_opt" localSheetId="0">POLE!$A$515:$A$527</definedName>
    <definedName name="design_name_opt">Sheet2!$A$511:$A$523</definedName>
    <definedName name="mem_opt" localSheetId="0">#REF!</definedName>
    <definedName name="mem_opt">#REF!</definedName>
    <definedName name="member_type" localSheetId="0">#REF!</definedName>
    <definedName name="member_type">#REF!</definedName>
    <definedName name="num_opt" localSheetId="0">POLE!$G$517:$G$519</definedName>
    <definedName name="num_opt">Sheet2!$G$513:$G$515</definedName>
    <definedName name="P" localSheetId="0">POLE!$E$516:$E$536</definedName>
    <definedName name="P">Sheet2!$E$512:$E$532</definedName>
    <definedName name="profile" localSheetId="0">#REF!</definedName>
    <definedName name="profile">#REF!</definedName>
    <definedName name="sections" localSheetId="0">POLE!$F$517:$F$518</definedName>
    <definedName name="sections">Sheet2!$F$513:$F$514</definedName>
    <definedName name="Select_Member_Type" localSheetId="0">#REF!</definedName>
    <definedName name="Select_Member_Type">#REF!</definedName>
  </definedNames>
  <calcPr calcId="145621"/>
</workbook>
</file>

<file path=xl/calcChain.xml><?xml version="1.0" encoding="utf-8"?>
<calcChain xmlns="http://schemas.openxmlformats.org/spreadsheetml/2006/main">
  <c r="F27" i="10" l="1"/>
  <c r="F28" i="10"/>
  <c r="F26" i="10"/>
  <c r="F25" i="10"/>
  <c r="F24" i="10"/>
  <c r="S42" i="10"/>
  <c r="S41" i="10"/>
  <c r="S40" i="10"/>
  <c r="S39" i="10"/>
  <c r="S38" i="10"/>
  <c r="S37" i="10"/>
  <c r="S36" i="10"/>
  <c r="AI108" i="10"/>
  <c r="AG108" i="10"/>
  <c r="AE108" i="10"/>
  <c r="AI107" i="10"/>
  <c r="AG107" i="10"/>
  <c r="AE107" i="10"/>
  <c r="AI106" i="10"/>
  <c r="AG106" i="10"/>
  <c r="AE106" i="10"/>
  <c r="AI105" i="10"/>
  <c r="AG105" i="10"/>
  <c r="AE105" i="10"/>
  <c r="AI104" i="10"/>
  <c r="AG104" i="10"/>
  <c r="AE104" i="10"/>
  <c r="AI103" i="10"/>
  <c r="AG103" i="10"/>
  <c r="AE103" i="10"/>
  <c r="AI102" i="10"/>
  <c r="AG102" i="10"/>
  <c r="AE102" i="10"/>
  <c r="AI101" i="10"/>
  <c r="AG101" i="10"/>
  <c r="AE101" i="10"/>
  <c r="AI100" i="10"/>
  <c r="AG100" i="10"/>
  <c r="AE100" i="10"/>
  <c r="AI99" i="10"/>
  <c r="AG99" i="10"/>
  <c r="AE99" i="10"/>
  <c r="AI98" i="10"/>
  <c r="AG98" i="10"/>
  <c r="AE98" i="10"/>
  <c r="AI97" i="10"/>
  <c r="AG97" i="10"/>
  <c r="AE97" i="10"/>
  <c r="AI96" i="10"/>
  <c r="AG96" i="10"/>
  <c r="AE96" i="10"/>
  <c r="AI95" i="10"/>
  <c r="AG95" i="10"/>
  <c r="AE95" i="10"/>
  <c r="AI94" i="10"/>
  <c r="AG94" i="10"/>
  <c r="AE94" i="10"/>
  <c r="AI93" i="10"/>
  <c r="AG93" i="10"/>
  <c r="AE93" i="10"/>
  <c r="AI92" i="10"/>
  <c r="AG92" i="10"/>
  <c r="AE92" i="10"/>
  <c r="AI91" i="10"/>
  <c r="AG91" i="10"/>
  <c r="AE91" i="10"/>
  <c r="AI90" i="10"/>
  <c r="AG90" i="10"/>
  <c r="AE90" i="10"/>
  <c r="AI89" i="10"/>
  <c r="AG89" i="10"/>
  <c r="AE89" i="10"/>
  <c r="AI88" i="10"/>
  <c r="AG88" i="10"/>
  <c r="AE88" i="10"/>
  <c r="AI87" i="10"/>
  <c r="AG87" i="10"/>
  <c r="AE87" i="10"/>
  <c r="AI86" i="10"/>
  <c r="AG86" i="10"/>
  <c r="AE86" i="10"/>
  <c r="AG85" i="10"/>
  <c r="AE85" i="10"/>
  <c r="AG84" i="10"/>
  <c r="AE84" i="10"/>
  <c r="AG83" i="10"/>
  <c r="AE83" i="10"/>
  <c r="AE82" i="10"/>
  <c r="AE81" i="10"/>
  <c r="AE80" i="10"/>
  <c r="AI78" i="10"/>
  <c r="AI77" i="10"/>
  <c r="AI75" i="10"/>
  <c r="AG75" i="10"/>
  <c r="AG74" i="10"/>
  <c r="AI73" i="10"/>
  <c r="AG72" i="10"/>
  <c r="AE72" i="10"/>
  <c r="AE71" i="10"/>
  <c r="AI66" i="10"/>
  <c r="AG66" i="10"/>
  <c r="AE66" i="10"/>
  <c r="AI65" i="10"/>
  <c r="AG65" i="10"/>
  <c r="AE65" i="10"/>
  <c r="AI64" i="10"/>
  <c r="AG64" i="10"/>
  <c r="AE64" i="10"/>
  <c r="AI62" i="10"/>
  <c r="AG62" i="10"/>
  <c r="AE62" i="10"/>
  <c r="E557" i="10" l="1"/>
  <c r="AC114" i="10"/>
  <c r="AC113" i="10"/>
  <c r="AC112" i="10"/>
  <c r="AC111" i="10"/>
  <c r="AA111" i="10"/>
  <c r="AC110" i="10"/>
  <c r="AA110" i="10"/>
  <c r="AC109" i="10"/>
  <c r="AA109" i="10"/>
  <c r="AC108" i="10"/>
  <c r="AA108" i="10"/>
  <c r="Y108" i="10"/>
  <c r="W108" i="10"/>
  <c r="AC107" i="10"/>
  <c r="AA107" i="10"/>
  <c r="Y107" i="10"/>
  <c r="W107" i="10"/>
  <c r="Q107" i="10"/>
  <c r="AC106" i="10"/>
  <c r="AA106" i="10"/>
  <c r="Y106" i="10"/>
  <c r="W106" i="10"/>
  <c r="Q106" i="10"/>
  <c r="AC105" i="10"/>
  <c r="AA105" i="10"/>
  <c r="Y105" i="10"/>
  <c r="W105" i="10"/>
  <c r="U105" i="10"/>
  <c r="Q105" i="10"/>
  <c r="AC104" i="10"/>
  <c r="AA104" i="10"/>
  <c r="Y104" i="10"/>
  <c r="W104" i="10"/>
  <c r="U104" i="10"/>
  <c r="Q104" i="10"/>
  <c r="O104" i="10"/>
  <c r="K104" i="10"/>
  <c r="AC103" i="10"/>
  <c r="AA103" i="10"/>
  <c r="Y103" i="10"/>
  <c r="W103" i="10"/>
  <c r="U103" i="10"/>
  <c r="Q103" i="10"/>
  <c r="O103" i="10"/>
  <c r="K103" i="10"/>
  <c r="AC102" i="10"/>
  <c r="AA102" i="10"/>
  <c r="Y102" i="10"/>
  <c r="W102" i="10"/>
  <c r="U102" i="10"/>
  <c r="S102" i="10"/>
  <c r="Q102" i="10"/>
  <c r="O102" i="10"/>
  <c r="K102" i="10"/>
  <c r="AC101" i="10"/>
  <c r="AA101" i="10"/>
  <c r="Y101" i="10"/>
  <c r="W101" i="10"/>
  <c r="U101" i="10"/>
  <c r="S101" i="10"/>
  <c r="Q101" i="10"/>
  <c r="O101" i="10"/>
  <c r="M101" i="10"/>
  <c r="K101" i="10"/>
  <c r="I101" i="10"/>
  <c r="AC100" i="10"/>
  <c r="AA100" i="10"/>
  <c r="Y100" i="10"/>
  <c r="W100" i="10"/>
  <c r="U100" i="10"/>
  <c r="S100" i="10"/>
  <c r="Q100" i="10"/>
  <c r="O100" i="10"/>
  <c r="M100" i="10"/>
  <c r="K100" i="10"/>
  <c r="I100" i="10"/>
  <c r="E100" i="10"/>
  <c r="AC99" i="10"/>
  <c r="AA99" i="10"/>
  <c r="Y99" i="10"/>
  <c r="W99" i="10"/>
  <c r="U99" i="10"/>
  <c r="S99" i="10"/>
  <c r="Q99" i="10"/>
  <c r="O99" i="10"/>
  <c r="M99" i="10"/>
  <c r="K99" i="10"/>
  <c r="I99" i="10"/>
  <c r="E99" i="10"/>
  <c r="AC98" i="10"/>
  <c r="AA98" i="10"/>
  <c r="Y98" i="10"/>
  <c r="W98" i="10"/>
  <c r="U98" i="10"/>
  <c r="S98" i="10"/>
  <c r="Q98" i="10"/>
  <c r="O98" i="10"/>
  <c r="M98" i="10"/>
  <c r="K98" i="10"/>
  <c r="I98" i="10"/>
  <c r="G98" i="10"/>
  <c r="E98" i="10"/>
  <c r="AC97" i="10"/>
  <c r="AA97" i="10"/>
  <c r="Y97" i="10"/>
  <c r="W97" i="10"/>
  <c r="U97" i="10"/>
  <c r="S97" i="10"/>
  <c r="Q97" i="10"/>
  <c r="O97" i="10"/>
  <c r="M97" i="10"/>
  <c r="K97" i="10"/>
  <c r="I97" i="10"/>
  <c r="G97" i="10"/>
  <c r="E97" i="10"/>
  <c r="C97" i="10"/>
  <c r="AC96" i="10"/>
  <c r="AA96" i="10"/>
  <c r="Y96" i="10"/>
  <c r="W96" i="10"/>
  <c r="U96" i="10"/>
  <c r="S96" i="10"/>
  <c r="Q96" i="10"/>
  <c r="O96" i="10"/>
  <c r="M96" i="10"/>
  <c r="K96" i="10"/>
  <c r="I96" i="10"/>
  <c r="G96" i="10"/>
  <c r="E96" i="10"/>
  <c r="C96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E95" i="10"/>
  <c r="C95" i="10"/>
  <c r="AC94" i="10"/>
  <c r="AA94" i="10"/>
  <c r="Y94" i="10"/>
  <c r="W94" i="10"/>
  <c r="U94" i="10"/>
  <c r="S94" i="10"/>
  <c r="Q94" i="10"/>
  <c r="O94" i="10"/>
  <c r="M94" i="10"/>
  <c r="K94" i="10"/>
  <c r="I94" i="10"/>
  <c r="G94" i="10"/>
  <c r="E94" i="10"/>
  <c r="C94" i="10"/>
  <c r="A94" i="10"/>
  <c r="AC93" i="10"/>
  <c r="AA93" i="10"/>
  <c r="Y93" i="10"/>
  <c r="W93" i="10"/>
  <c r="U93" i="10"/>
  <c r="S93" i="10"/>
  <c r="Q93" i="10"/>
  <c r="O93" i="10"/>
  <c r="M93" i="10"/>
  <c r="K93" i="10"/>
  <c r="I93" i="10"/>
  <c r="G93" i="10"/>
  <c r="E93" i="10"/>
  <c r="C93" i="10"/>
  <c r="A93" i="10"/>
  <c r="AC92" i="10"/>
  <c r="AA92" i="10"/>
  <c r="Y92" i="10"/>
  <c r="W92" i="10"/>
  <c r="U92" i="10"/>
  <c r="S92" i="10"/>
  <c r="Q92" i="10"/>
  <c r="O92" i="10"/>
  <c r="M92" i="10"/>
  <c r="K92" i="10"/>
  <c r="I92" i="10"/>
  <c r="G92" i="10"/>
  <c r="E92" i="10"/>
  <c r="C92" i="10"/>
  <c r="A92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E91" i="10"/>
  <c r="C91" i="10"/>
  <c r="A91" i="10"/>
  <c r="AC90" i="10"/>
  <c r="AA90" i="10"/>
  <c r="Y90" i="10"/>
  <c r="W90" i="10"/>
  <c r="U90" i="10"/>
  <c r="S90" i="10"/>
  <c r="Q90" i="10"/>
  <c r="O90" i="10"/>
  <c r="M90" i="10"/>
  <c r="K90" i="10"/>
  <c r="I90" i="10"/>
  <c r="G90" i="10"/>
  <c r="E90" i="10"/>
  <c r="C90" i="10"/>
  <c r="A90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E89" i="10"/>
  <c r="C89" i="10"/>
  <c r="A89" i="10"/>
  <c r="AC88" i="10"/>
  <c r="AA88" i="10"/>
  <c r="Y88" i="10"/>
  <c r="W88" i="10"/>
  <c r="U88" i="10"/>
  <c r="S88" i="10"/>
  <c r="Q88" i="10"/>
  <c r="O88" i="10"/>
  <c r="M88" i="10"/>
  <c r="K88" i="10"/>
  <c r="I88" i="10"/>
  <c r="G88" i="10"/>
  <c r="E88" i="10"/>
  <c r="C88" i="10"/>
  <c r="A88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E87" i="10"/>
  <c r="C87" i="10"/>
  <c r="A87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A86" i="10"/>
  <c r="AA85" i="10"/>
  <c r="Y85" i="10"/>
  <c r="U85" i="10"/>
  <c r="S85" i="10"/>
  <c r="O85" i="10"/>
  <c r="M85" i="10"/>
  <c r="I85" i="10"/>
  <c r="G85" i="10"/>
  <c r="C85" i="10"/>
  <c r="A85" i="10"/>
  <c r="AA84" i="10"/>
  <c r="Y84" i="10"/>
  <c r="U84" i="10"/>
  <c r="S84" i="10"/>
  <c r="O84" i="10"/>
  <c r="M84" i="10"/>
  <c r="I84" i="10"/>
  <c r="G84" i="10"/>
  <c r="C84" i="10"/>
  <c r="A84" i="10"/>
  <c r="AA83" i="10"/>
  <c r="Y83" i="10"/>
  <c r="U83" i="10"/>
  <c r="S83" i="10"/>
  <c r="O83" i="10"/>
  <c r="M83" i="10"/>
  <c r="I83" i="10"/>
  <c r="G83" i="10"/>
  <c r="C83" i="10"/>
  <c r="A83" i="10"/>
  <c r="Y82" i="10"/>
  <c r="S82" i="10"/>
  <c r="M82" i="10"/>
  <c r="G82" i="10"/>
  <c r="A82" i="10"/>
  <c r="Y81" i="10"/>
  <c r="S81" i="10"/>
  <c r="M81" i="10"/>
  <c r="G81" i="10"/>
  <c r="A81" i="10"/>
  <c r="Y80" i="10"/>
  <c r="S80" i="10"/>
  <c r="M80" i="10"/>
  <c r="G80" i="10"/>
  <c r="A80" i="10"/>
  <c r="AC78" i="10"/>
  <c r="W78" i="10"/>
  <c r="Q78" i="10"/>
  <c r="K78" i="10"/>
  <c r="E78" i="10"/>
  <c r="AC77" i="10"/>
  <c r="W77" i="10"/>
  <c r="Q77" i="10"/>
  <c r="K77" i="10"/>
  <c r="E77" i="10"/>
  <c r="AC75" i="10"/>
  <c r="AA75" i="10"/>
  <c r="W75" i="10"/>
  <c r="U75" i="10"/>
  <c r="Q75" i="10"/>
  <c r="O75" i="10"/>
  <c r="K75" i="10"/>
  <c r="I75" i="10"/>
  <c r="E75" i="10"/>
  <c r="C75" i="10"/>
  <c r="AA74" i="10"/>
  <c r="U74" i="10"/>
  <c r="O74" i="10"/>
  <c r="I74" i="10"/>
  <c r="C74" i="10"/>
  <c r="AC73" i="10"/>
  <c r="W73" i="10"/>
  <c r="Q73" i="10"/>
  <c r="K73" i="10"/>
  <c r="E73" i="10"/>
  <c r="AA72" i="10"/>
  <c r="Y72" i="10"/>
  <c r="U72" i="10"/>
  <c r="S72" i="10"/>
  <c r="O72" i="10"/>
  <c r="M72" i="10"/>
  <c r="I72" i="10"/>
  <c r="G72" i="10"/>
  <c r="C72" i="10"/>
  <c r="A72" i="10"/>
  <c r="Y71" i="10"/>
  <c r="S71" i="10"/>
  <c r="M71" i="10"/>
  <c r="G71" i="10"/>
  <c r="A71" i="10"/>
  <c r="AC66" i="10"/>
  <c r="AA66" i="10"/>
  <c r="Y66" i="10"/>
  <c r="W66" i="10"/>
  <c r="U66" i="10"/>
  <c r="S66" i="10"/>
  <c r="Q66" i="10"/>
  <c r="O66" i="10"/>
  <c r="M66" i="10"/>
  <c r="K66" i="10"/>
  <c r="I66" i="10"/>
  <c r="G66" i="10"/>
  <c r="E66" i="10"/>
  <c r="C66" i="10"/>
  <c r="A66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E65" i="10"/>
  <c r="C65" i="10"/>
  <c r="A65" i="10"/>
  <c r="AC64" i="10"/>
  <c r="AA64" i="10"/>
  <c r="Y64" i="10"/>
  <c r="W64" i="10"/>
  <c r="U64" i="10"/>
  <c r="S64" i="10"/>
  <c r="Q64" i="10"/>
  <c r="O64" i="10"/>
  <c r="M64" i="10"/>
  <c r="K64" i="10"/>
  <c r="I64" i="10"/>
  <c r="G64" i="10"/>
  <c r="E64" i="10"/>
  <c r="C64" i="10"/>
  <c r="A64" i="10"/>
  <c r="AC62" i="10"/>
  <c r="AA62" i="10"/>
  <c r="Y62" i="10"/>
  <c r="W62" i="10"/>
  <c r="U62" i="10"/>
  <c r="S62" i="10"/>
  <c r="Q62" i="10"/>
  <c r="O62" i="10"/>
  <c r="M62" i="10"/>
  <c r="K62" i="10"/>
  <c r="I62" i="10"/>
  <c r="G62" i="10"/>
  <c r="E62" i="10"/>
  <c r="C62" i="10"/>
  <c r="A62" i="10"/>
  <c r="E45" i="10"/>
  <c r="E44" i="10"/>
  <c r="Q74" i="10" s="1"/>
  <c r="E43" i="10"/>
  <c r="M42" i="10"/>
  <c r="A79" i="10" s="1"/>
  <c r="M41" i="10"/>
  <c r="E41" i="10"/>
  <c r="M40" i="10"/>
  <c r="Q83" i="10" s="1"/>
  <c r="E40" i="10"/>
  <c r="M39" i="10"/>
  <c r="E39" i="10"/>
  <c r="Q70" i="10" s="1"/>
  <c r="M38" i="10"/>
  <c r="AC81" i="10" s="1"/>
  <c r="E38" i="10"/>
  <c r="M37" i="10"/>
  <c r="E37" i="10"/>
  <c r="AA68" i="10" s="1"/>
  <c r="M36" i="10"/>
  <c r="E36" i="10"/>
  <c r="E35" i="10"/>
  <c r="AI67" i="10" l="1"/>
  <c r="AG67" i="10"/>
  <c r="AE67" i="10"/>
  <c r="AI79" i="10"/>
  <c r="AE73" i="10"/>
  <c r="AG76" i="10"/>
  <c r="AI69" i="10"/>
  <c r="AE69" i="10"/>
  <c r="AG69" i="10"/>
  <c r="AI82" i="10"/>
  <c r="AG79" i="10"/>
  <c r="AE76" i="10"/>
  <c r="AI72" i="10"/>
  <c r="AG71" i="10"/>
  <c r="AE70" i="10"/>
  <c r="I67" i="10"/>
  <c r="C68" i="10"/>
  <c r="K68" i="10"/>
  <c r="S68" i="10"/>
  <c r="M69" i="10"/>
  <c r="G70" i="10"/>
  <c r="O70" i="10"/>
  <c r="AA70" i="10"/>
  <c r="AA71" i="10"/>
  <c r="E72" i="10"/>
  <c r="K72" i="10"/>
  <c r="I73" i="10"/>
  <c r="O73" i="10"/>
  <c r="O78" i="10"/>
  <c r="Q79" i="10"/>
  <c r="U80" i="10"/>
  <c r="Y68" i="10"/>
  <c r="AI68" i="10"/>
  <c r="AG68" i="10"/>
  <c r="AE68" i="10"/>
  <c r="AI81" i="10"/>
  <c r="AE75" i="10"/>
  <c r="AG78" i="10"/>
  <c r="Q71" i="10"/>
  <c r="AI71" i="10"/>
  <c r="AI84" i="10"/>
  <c r="AE78" i="10"/>
  <c r="AG81" i="10"/>
  <c r="AC74" i="10"/>
  <c r="AI74" i="10"/>
  <c r="AG73" i="10"/>
  <c r="S67" i="10"/>
  <c r="E68" i="10"/>
  <c r="M68" i="10"/>
  <c r="U68" i="10"/>
  <c r="AC68" i="10"/>
  <c r="W69" i="10"/>
  <c r="I70" i="10"/>
  <c r="I71" i="10"/>
  <c r="K74" i="10"/>
  <c r="A75" i="10"/>
  <c r="C76" i="10"/>
  <c r="I78" i="10"/>
  <c r="E81" i="10"/>
  <c r="AI63" i="10"/>
  <c r="AE63" i="10"/>
  <c r="AG63" i="10"/>
  <c r="AC80" i="10"/>
  <c r="AI80" i="10"/>
  <c r="AG77" i="10"/>
  <c r="AE74" i="10"/>
  <c r="AC70" i="10"/>
  <c r="AI70" i="10"/>
  <c r="AG70" i="10"/>
  <c r="AI83" i="10"/>
  <c r="AG80" i="10"/>
  <c r="AE77" i="10"/>
  <c r="AI85" i="10"/>
  <c r="AG82" i="10"/>
  <c r="AE79" i="10"/>
  <c r="E76" i="10"/>
  <c r="AI76" i="10"/>
  <c r="AC67" i="10"/>
  <c r="G68" i="10"/>
  <c r="O68" i="10"/>
  <c r="W68" i="10"/>
  <c r="A69" i="10"/>
  <c r="C70" i="10"/>
  <c r="K70" i="10"/>
  <c r="W70" i="10"/>
  <c r="C71" i="10"/>
  <c r="K71" i="10"/>
  <c r="G73" i="10"/>
  <c r="M73" i="10"/>
  <c r="U73" i="10"/>
  <c r="W74" i="10"/>
  <c r="S75" i="10"/>
  <c r="AA76" i="10"/>
  <c r="M77" i="10"/>
  <c r="K79" i="10"/>
  <c r="C80" i="10"/>
  <c r="AA80" i="10"/>
  <c r="W85" i="10"/>
  <c r="W63" i="10"/>
  <c r="O63" i="10"/>
  <c r="G63" i="10"/>
  <c r="AC82" i="10"/>
  <c r="E82" i="10"/>
  <c r="O79" i="10"/>
  <c r="Y76" i="10"/>
  <c r="A76" i="10"/>
  <c r="K82" i="10"/>
  <c r="U79" i="10"/>
  <c r="G76" i="10"/>
  <c r="Q84" i="10"/>
  <c r="AA81" i="10"/>
  <c r="C81" i="10"/>
  <c r="M78" i="10"/>
  <c r="W84" i="10"/>
  <c r="I81" i="10"/>
  <c r="S78" i="10"/>
  <c r="K63" i="10"/>
  <c r="M76" i="10"/>
  <c r="G78" i="10"/>
  <c r="W82" i="10"/>
  <c r="E84" i="10"/>
  <c r="W67" i="10"/>
  <c r="O67" i="10"/>
  <c r="G67" i="10"/>
  <c r="AA69" i="10"/>
  <c r="S69" i="10"/>
  <c r="K69" i="10"/>
  <c r="C69" i="10"/>
  <c r="Y69" i="10"/>
  <c r="K85" i="10"/>
  <c r="U82" i="10"/>
  <c r="G79" i="10"/>
  <c r="Q85" i="10"/>
  <c r="AA82" i="10"/>
  <c r="C82" i="10"/>
  <c r="M79" i="10"/>
  <c r="C63" i="10"/>
  <c r="M63" i="10"/>
  <c r="Y63" i="10"/>
  <c r="A67" i="10"/>
  <c r="K67" i="10"/>
  <c r="U67" i="10"/>
  <c r="E69" i="10"/>
  <c r="O69" i="10"/>
  <c r="AC69" i="10"/>
  <c r="A74" i="10"/>
  <c r="S76" i="10"/>
  <c r="O77" i="10"/>
  <c r="C79" i="10"/>
  <c r="S79" i="10"/>
  <c r="U81" i="10"/>
  <c r="O82" i="10"/>
  <c r="E85" i="10"/>
  <c r="W79" i="10"/>
  <c r="I76" i="10"/>
  <c r="S73" i="10"/>
  <c r="AC79" i="10"/>
  <c r="E79" i="10"/>
  <c r="O76" i="10"/>
  <c r="Y73" i="10"/>
  <c r="A73" i="10"/>
  <c r="K81" i="10"/>
  <c r="U78" i="10"/>
  <c r="G75" i="10"/>
  <c r="Q81" i="10"/>
  <c r="AA78" i="10"/>
  <c r="C78" i="10"/>
  <c r="M75" i="10"/>
  <c r="W83" i="10"/>
  <c r="I80" i="10"/>
  <c r="S77" i="10"/>
  <c r="AC83" i="10"/>
  <c r="E83" i="10"/>
  <c r="O80" i="10"/>
  <c r="Y77" i="10"/>
  <c r="A77" i="10"/>
  <c r="Q72" i="10"/>
  <c r="O71" i="10"/>
  <c r="M70" i="10"/>
  <c r="W72" i="10"/>
  <c r="U71" i="10"/>
  <c r="S70" i="10"/>
  <c r="E63" i="10"/>
  <c r="Q63" i="10"/>
  <c r="AA63" i="10"/>
  <c r="C67" i="10"/>
  <c r="M67" i="10"/>
  <c r="Y67" i="10"/>
  <c r="G69" i="10"/>
  <c r="Q69" i="10"/>
  <c r="A70" i="10"/>
  <c r="Y70" i="10"/>
  <c r="AC72" i="10"/>
  <c r="Y74" i="10"/>
  <c r="Y75" i="10"/>
  <c r="U76" i="10"/>
  <c r="G77" i="10"/>
  <c r="A78" i="10"/>
  <c r="Y78" i="10"/>
  <c r="I79" i="10"/>
  <c r="Y79" i="10"/>
  <c r="E80" i="10"/>
  <c r="W81" i="10"/>
  <c r="Q82" i="10"/>
  <c r="K83" i="10"/>
  <c r="AC84" i="10"/>
  <c r="Q80" i="10"/>
  <c r="AA77" i="10"/>
  <c r="C77" i="10"/>
  <c r="M74" i="10"/>
  <c r="W80" i="10"/>
  <c r="I77" i="10"/>
  <c r="S74" i="10"/>
  <c r="Q76" i="10"/>
  <c r="W76" i="10"/>
  <c r="A63" i="10"/>
  <c r="U63" i="10"/>
  <c r="AC76" i="10"/>
  <c r="K80" i="10"/>
  <c r="W71" i="10"/>
  <c r="AC71" i="10"/>
  <c r="E71" i="10"/>
  <c r="I63" i="10"/>
  <c r="S63" i="10"/>
  <c r="AC63" i="10"/>
  <c r="E67" i="10"/>
  <c r="Q67" i="10"/>
  <c r="AA67" i="10"/>
  <c r="I69" i="10"/>
  <c r="U69" i="10"/>
  <c r="G74" i="10"/>
  <c r="K76" i="10"/>
  <c r="U77" i="10"/>
  <c r="AA79" i="10"/>
  <c r="O81" i="10"/>
  <c r="I82" i="10"/>
  <c r="K84" i="10"/>
  <c r="AC85" i="10"/>
  <c r="A68" i="10"/>
  <c r="I68" i="10"/>
  <c r="Q68" i="10"/>
  <c r="E70" i="10"/>
  <c r="U70" i="10"/>
  <c r="C73" i="10"/>
  <c r="AA73" i="10"/>
  <c r="E74" i="10"/>
  <c r="M42" i="2" l="1"/>
  <c r="M41" i="2"/>
  <c r="M40" i="2"/>
  <c r="M39" i="2"/>
  <c r="M38" i="2"/>
  <c r="M37" i="2"/>
  <c r="M36" i="2"/>
  <c r="E45" i="2"/>
  <c r="E44" i="2"/>
  <c r="E43" i="2"/>
  <c r="E41" i="2"/>
  <c r="E40" i="2"/>
  <c r="E39" i="2"/>
  <c r="E38" i="2"/>
  <c r="E37" i="2"/>
  <c r="E36" i="2"/>
  <c r="E35" i="2"/>
  <c r="AC114" i="2" l="1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A111" i="2"/>
  <c r="AA110" i="2"/>
  <c r="AA109" i="2"/>
  <c r="AA108" i="2"/>
  <c r="AA107" i="2"/>
  <c r="AA106" i="2"/>
  <c r="AA105" i="2"/>
  <c r="AA104" i="2"/>
  <c r="AA103" i="2"/>
  <c r="AA102" i="2"/>
  <c r="AA101" i="2"/>
  <c r="AA100" i="2"/>
  <c r="AA99" i="2"/>
  <c r="AA98" i="2"/>
  <c r="AA97" i="2"/>
  <c r="AA96" i="2"/>
  <c r="AA95" i="2"/>
  <c r="Y98" i="2"/>
  <c r="Y97" i="2"/>
  <c r="Y96" i="2"/>
  <c r="Y95" i="2"/>
  <c r="Y94" i="2"/>
  <c r="Y93" i="2"/>
  <c r="Y108" i="2"/>
  <c r="Y107" i="2"/>
  <c r="Y106" i="2"/>
  <c r="Y105" i="2"/>
  <c r="W108" i="2"/>
  <c r="W107" i="2"/>
  <c r="W106" i="2"/>
  <c r="W105" i="2"/>
  <c r="U105" i="2"/>
  <c r="U104" i="2"/>
  <c r="U103" i="2"/>
  <c r="U102" i="2"/>
  <c r="S102" i="2"/>
  <c r="S101" i="2"/>
  <c r="S100" i="2"/>
  <c r="S99" i="2"/>
  <c r="Y104" i="2"/>
  <c r="AC97" i="2"/>
  <c r="Y103" i="2"/>
  <c r="AC96" i="2"/>
  <c r="Y102" i="2"/>
  <c r="AC95" i="2"/>
  <c r="Y101" i="2"/>
  <c r="AC94" i="2"/>
  <c r="AA94" i="2"/>
  <c r="Y100" i="2"/>
  <c r="AC93" i="2"/>
  <c r="AA93" i="2"/>
  <c r="Y99" i="2"/>
  <c r="AC92" i="2"/>
  <c r="AA92" i="2"/>
  <c r="Y92" i="2"/>
  <c r="AC91" i="2"/>
  <c r="AA91" i="2"/>
  <c r="Y91" i="2"/>
  <c r="AC90" i="2"/>
  <c r="AA90" i="2"/>
  <c r="Y90" i="2"/>
  <c r="AC89" i="2"/>
  <c r="AA89" i="2"/>
  <c r="Y89" i="2"/>
  <c r="AC88" i="2"/>
  <c r="AA88" i="2"/>
  <c r="Y88" i="2"/>
  <c r="AC87" i="2"/>
  <c r="AA87" i="2"/>
  <c r="Y87" i="2"/>
  <c r="AC86" i="2"/>
  <c r="AA86" i="2"/>
  <c r="Y86" i="2"/>
  <c r="AC85" i="2"/>
  <c r="AA85" i="2"/>
  <c r="Y85" i="2"/>
  <c r="AC84" i="2"/>
  <c r="AA84" i="2"/>
  <c r="Y84" i="2"/>
  <c r="AC83" i="2"/>
  <c r="AA83" i="2"/>
  <c r="Y83" i="2"/>
  <c r="AC82" i="2"/>
  <c r="AA82" i="2"/>
  <c r="Y82" i="2"/>
  <c r="AC81" i="2"/>
  <c r="AA81" i="2"/>
  <c r="Y81" i="2"/>
  <c r="AC80" i="2"/>
  <c r="AA80" i="2"/>
  <c r="Y80" i="2"/>
  <c r="AC79" i="2"/>
  <c r="AA79" i="2"/>
  <c r="Y79" i="2"/>
  <c r="AC78" i="2"/>
  <c r="AA78" i="2"/>
  <c r="Y78" i="2"/>
  <c r="AC77" i="2"/>
  <c r="AA77" i="2"/>
  <c r="Y77" i="2"/>
  <c r="AC76" i="2"/>
  <c r="AA76" i="2"/>
  <c r="Y76" i="2"/>
  <c r="AC75" i="2"/>
  <c r="AA75" i="2"/>
  <c r="Y75" i="2"/>
  <c r="AC74" i="2"/>
  <c r="AA74" i="2"/>
  <c r="Y74" i="2"/>
  <c r="AC73" i="2"/>
  <c r="AA73" i="2"/>
  <c r="Y73" i="2"/>
  <c r="AC72" i="2"/>
  <c r="AA72" i="2"/>
  <c r="Y72" i="2"/>
  <c r="AC71" i="2"/>
  <c r="AA71" i="2"/>
  <c r="Y71" i="2"/>
  <c r="AC70" i="2"/>
  <c r="AA70" i="2"/>
  <c r="Y70" i="2"/>
  <c r="AC69" i="2"/>
  <c r="AA69" i="2"/>
  <c r="Y69" i="2"/>
  <c r="AC68" i="2"/>
  <c r="AA68" i="2"/>
  <c r="Y68" i="2"/>
  <c r="AC67" i="2"/>
  <c r="AA67" i="2"/>
  <c r="Y67" i="2"/>
  <c r="AC66" i="2"/>
  <c r="AA66" i="2"/>
  <c r="Y66" i="2"/>
  <c r="AC65" i="2"/>
  <c r="AA65" i="2"/>
  <c r="Y65" i="2"/>
  <c r="AC64" i="2"/>
  <c r="AA64" i="2"/>
  <c r="Y64" i="2"/>
  <c r="AC63" i="2"/>
  <c r="AA63" i="2"/>
  <c r="Y63" i="2"/>
  <c r="AC62" i="2"/>
  <c r="AA62" i="2"/>
  <c r="Y62" i="2"/>
  <c r="W104" i="2"/>
  <c r="W103" i="2"/>
  <c r="W102" i="2"/>
  <c r="W101" i="2"/>
  <c r="W100" i="2"/>
  <c r="W99" i="2"/>
  <c r="U101" i="2"/>
  <c r="U100" i="2"/>
  <c r="U99" i="2"/>
  <c r="U98" i="2"/>
  <c r="U97" i="2"/>
  <c r="U96" i="2"/>
  <c r="S98" i="2"/>
  <c r="S97" i="2"/>
  <c r="S96" i="2"/>
  <c r="S95" i="2"/>
  <c r="S94" i="2"/>
  <c r="S93" i="2"/>
  <c r="W98" i="2"/>
  <c r="W97" i="2"/>
  <c r="W96" i="2"/>
  <c r="W95" i="2"/>
  <c r="U95" i="2"/>
  <c r="W94" i="2"/>
  <c r="U94" i="2"/>
  <c r="W93" i="2"/>
  <c r="U93" i="2"/>
  <c r="W92" i="2"/>
  <c r="U92" i="2"/>
  <c r="S92" i="2"/>
  <c r="W91" i="2"/>
  <c r="U91" i="2"/>
  <c r="S91" i="2"/>
  <c r="W90" i="2"/>
  <c r="U90" i="2"/>
  <c r="S90" i="2"/>
  <c r="W89" i="2"/>
  <c r="U89" i="2"/>
  <c r="S89" i="2"/>
  <c r="W88" i="2"/>
  <c r="U88" i="2"/>
  <c r="S88" i="2"/>
  <c r="W87" i="2"/>
  <c r="U87" i="2"/>
  <c r="S87" i="2"/>
  <c r="W86" i="2"/>
  <c r="U86" i="2"/>
  <c r="S86" i="2"/>
  <c r="W85" i="2"/>
  <c r="U85" i="2"/>
  <c r="S85" i="2"/>
  <c r="W84" i="2"/>
  <c r="U84" i="2"/>
  <c r="S84" i="2"/>
  <c r="W83" i="2"/>
  <c r="U83" i="2"/>
  <c r="S83" i="2"/>
  <c r="W82" i="2"/>
  <c r="U82" i="2"/>
  <c r="S82" i="2"/>
  <c r="W81" i="2"/>
  <c r="U81" i="2"/>
  <c r="S81" i="2"/>
  <c r="W80" i="2"/>
  <c r="U80" i="2"/>
  <c r="S80" i="2"/>
  <c r="W79" i="2"/>
  <c r="U79" i="2"/>
  <c r="S79" i="2"/>
  <c r="W78" i="2"/>
  <c r="U78" i="2"/>
  <c r="S78" i="2"/>
  <c r="W77" i="2"/>
  <c r="U77" i="2"/>
  <c r="S77" i="2"/>
  <c r="W76" i="2"/>
  <c r="U76" i="2"/>
  <c r="S76" i="2"/>
  <c r="W75" i="2"/>
  <c r="U75" i="2"/>
  <c r="S75" i="2"/>
  <c r="W74" i="2"/>
  <c r="U74" i="2"/>
  <c r="S74" i="2"/>
  <c r="W73" i="2"/>
  <c r="U73" i="2"/>
  <c r="S73" i="2"/>
  <c r="W72" i="2"/>
  <c r="U72" i="2"/>
  <c r="S72" i="2"/>
  <c r="W71" i="2"/>
  <c r="U71" i="2"/>
  <c r="S71" i="2"/>
  <c r="W70" i="2"/>
  <c r="U70" i="2"/>
  <c r="S70" i="2"/>
  <c r="W69" i="2"/>
  <c r="U69" i="2"/>
  <c r="S69" i="2"/>
  <c r="W68" i="2"/>
  <c r="U68" i="2"/>
  <c r="S68" i="2"/>
  <c r="W67" i="2"/>
  <c r="U67" i="2"/>
  <c r="S67" i="2"/>
  <c r="W66" i="2"/>
  <c r="U66" i="2"/>
  <c r="S66" i="2"/>
  <c r="W65" i="2"/>
  <c r="U65" i="2"/>
  <c r="S65" i="2"/>
  <c r="W64" i="2"/>
  <c r="U64" i="2"/>
  <c r="S64" i="2"/>
  <c r="W63" i="2"/>
  <c r="U63" i="2"/>
  <c r="S63" i="2"/>
  <c r="W62" i="2"/>
  <c r="U62" i="2"/>
  <c r="S62" i="2"/>
  <c r="Q107" i="2"/>
  <c r="Q106" i="2"/>
  <c r="Q105" i="2"/>
  <c r="Q104" i="2"/>
  <c r="Q103" i="2"/>
  <c r="Q102" i="2"/>
  <c r="Q101" i="2"/>
  <c r="Q100" i="2"/>
  <c r="Q99" i="2"/>
  <c r="O104" i="2"/>
  <c r="O103" i="2"/>
  <c r="O102" i="2"/>
  <c r="O101" i="2"/>
  <c r="O100" i="2"/>
  <c r="O99" i="2"/>
  <c r="O98" i="2"/>
  <c r="O97" i="2"/>
  <c r="O96" i="2"/>
  <c r="M101" i="2"/>
  <c r="M100" i="2"/>
  <c r="M99" i="2"/>
  <c r="M98" i="2"/>
  <c r="M97" i="2"/>
  <c r="M96" i="2"/>
  <c r="M95" i="2"/>
  <c r="M94" i="2"/>
  <c r="M93" i="2"/>
  <c r="Q98" i="2"/>
  <c r="Q97" i="2"/>
  <c r="Q96" i="2"/>
  <c r="Q95" i="2"/>
  <c r="O95" i="2"/>
  <c r="Q94" i="2"/>
  <c r="O94" i="2"/>
  <c r="Q93" i="2"/>
  <c r="O93" i="2"/>
  <c r="Q92" i="2"/>
  <c r="O92" i="2"/>
  <c r="M92" i="2"/>
  <c r="Q91" i="2"/>
  <c r="O91" i="2"/>
  <c r="M91" i="2"/>
  <c r="Q90" i="2"/>
  <c r="O90" i="2"/>
  <c r="M90" i="2"/>
  <c r="Q89" i="2"/>
  <c r="O89" i="2"/>
  <c r="M89" i="2"/>
  <c r="Q88" i="2"/>
  <c r="O88" i="2"/>
  <c r="M88" i="2"/>
  <c r="Q87" i="2"/>
  <c r="O87" i="2"/>
  <c r="M87" i="2"/>
  <c r="Q86" i="2"/>
  <c r="O86" i="2"/>
  <c r="M86" i="2"/>
  <c r="Q85" i="2"/>
  <c r="O85" i="2"/>
  <c r="M85" i="2"/>
  <c r="Q84" i="2"/>
  <c r="O84" i="2"/>
  <c r="M84" i="2"/>
  <c r="Q83" i="2"/>
  <c r="O83" i="2"/>
  <c r="M83" i="2"/>
  <c r="Q82" i="2"/>
  <c r="O82" i="2"/>
  <c r="M82" i="2"/>
  <c r="Q81" i="2"/>
  <c r="O81" i="2"/>
  <c r="M81" i="2"/>
  <c r="Q80" i="2"/>
  <c r="O80" i="2"/>
  <c r="M80" i="2"/>
  <c r="Q79" i="2"/>
  <c r="O79" i="2"/>
  <c r="M79" i="2"/>
  <c r="Q78" i="2"/>
  <c r="O78" i="2"/>
  <c r="M78" i="2"/>
  <c r="Q77" i="2"/>
  <c r="O77" i="2"/>
  <c r="M77" i="2"/>
  <c r="Q76" i="2"/>
  <c r="O76" i="2"/>
  <c r="M76" i="2"/>
  <c r="Q75" i="2"/>
  <c r="O75" i="2"/>
  <c r="M75" i="2"/>
  <c r="Q74" i="2"/>
  <c r="O74" i="2"/>
  <c r="M74" i="2"/>
  <c r="Q73" i="2"/>
  <c r="O73" i="2"/>
  <c r="M73" i="2"/>
  <c r="Q72" i="2"/>
  <c r="O72" i="2"/>
  <c r="M72" i="2"/>
  <c r="Q71" i="2"/>
  <c r="O71" i="2"/>
  <c r="M71" i="2"/>
  <c r="Q70" i="2"/>
  <c r="O70" i="2"/>
  <c r="M70" i="2"/>
  <c r="Q69" i="2"/>
  <c r="O69" i="2"/>
  <c r="M69" i="2"/>
  <c r="Q68" i="2"/>
  <c r="O68" i="2"/>
  <c r="M68" i="2"/>
  <c r="Q67" i="2"/>
  <c r="O67" i="2"/>
  <c r="M67" i="2"/>
  <c r="Q66" i="2"/>
  <c r="O66" i="2"/>
  <c r="M66" i="2"/>
  <c r="Q65" i="2"/>
  <c r="O65" i="2"/>
  <c r="M65" i="2"/>
  <c r="Q64" i="2"/>
  <c r="O64" i="2"/>
  <c r="M64" i="2"/>
  <c r="Q63" i="2"/>
  <c r="O63" i="2"/>
  <c r="M63" i="2"/>
  <c r="Q62" i="2"/>
  <c r="O62" i="2"/>
  <c r="M62" i="2"/>
  <c r="K104" i="2"/>
  <c r="K103" i="2"/>
  <c r="K102" i="2"/>
  <c r="K101" i="2"/>
  <c r="I101" i="2"/>
  <c r="I100" i="2"/>
  <c r="I99" i="2"/>
  <c r="I98" i="2"/>
  <c r="G98" i="2"/>
  <c r="G97" i="2"/>
  <c r="G96" i="2"/>
  <c r="G95" i="2"/>
  <c r="K100" i="2"/>
  <c r="I97" i="2"/>
  <c r="G94" i="2"/>
  <c r="E100" i="2"/>
  <c r="C97" i="2"/>
  <c r="A94" i="2"/>
  <c r="K98" i="2"/>
  <c r="I95" i="2"/>
  <c r="G92" i="2"/>
  <c r="E98" i="2"/>
  <c r="C95" i="2"/>
  <c r="A92" i="2"/>
  <c r="K99" i="2"/>
  <c r="K97" i="2"/>
  <c r="K96" i="2"/>
  <c r="K95" i="2"/>
  <c r="K94" i="2"/>
  <c r="K93" i="2"/>
  <c r="K92" i="2"/>
  <c r="K91" i="2"/>
  <c r="K90" i="2"/>
  <c r="K89" i="2"/>
  <c r="I96" i="2"/>
  <c r="I94" i="2"/>
  <c r="I93" i="2"/>
  <c r="I92" i="2"/>
  <c r="I91" i="2"/>
  <c r="I90" i="2"/>
  <c r="I89" i="2"/>
  <c r="I88" i="2"/>
  <c r="I87" i="2"/>
  <c r="I86" i="2"/>
  <c r="G93" i="2"/>
  <c r="G91" i="2"/>
  <c r="G90" i="2"/>
  <c r="G89" i="2"/>
  <c r="G88" i="2"/>
  <c r="G87" i="2"/>
  <c r="G86" i="2"/>
  <c r="G85" i="2"/>
  <c r="G84" i="2"/>
  <c r="G83" i="2"/>
  <c r="E99" i="2"/>
  <c r="E97" i="2"/>
  <c r="E96" i="2"/>
  <c r="E95" i="2"/>
  <c r="E94" i="2"/>
  <c r="E93" i="2"/>
  <c r="E92" i="2"/>
  <c r="E91" i="2"/>
  <c r="E90" i="2"/>
  <c r="E89" i="2"/>
  <c r="C96" i="2"/>
  <c r="C94" i="2"/>
  <c r="C93" i="2"/>
  <c r="C92" i="2"/>
  <c r="C91" i="2"/>
  <c r="C90" i="2"/>
  <c r="C89" i="2"/>
  <c r="C88" i="2"/>
  <c r="C87" i="2"/>
  <c r="C86" i="2"/>
  <c r="A93" i="2"/>
  <c r="A91" i="2"/>
  <c r="A90" i="2"/>
  <c r="A89" i="2"/>
  <c r="A88" i="2"/>
  <c r="A87" i="2"/>
  <c r="A86" i="2"/>
  <c r="A85" i="2"/>
  <c r="A84" i="2"/>
  <c r="A83" i="2"/>
  <c r="K88" i="2"/>
  <c r="K87" i="2"/>
  <c r="K86" i="2"/>
  <c r="K85" i="2"/>
  <c r="I85" i="2"/>
  <c r="K84" i="2"/>
  <c r="I84" i="2"/>
  <c r="K83" i="2"/>
  <c r="I83" i="2"/>
  <c r="K82" i="2"/>
  <c r="I82" i="2"/>
  <c r="G82" i="2"/>
  <c r="K81" i="2"/>
  <c r="I81" i="2"/>
  <c r="G81" i="2"/>
  <c r="K80" i="2"/>
  <c r="I80" i="2"/>
  <c r="G80" i="2"/>
  <c r="K79" i="2"/>
  <c r="I79" i="2"/>
  <c r="G79" i="2"/>
  <c r="K78" i="2"/>
  <c r="I78" i="2"/>
  <c r="G78" i="2"/>
  <c r="K77" i="2"/>
  <c r="I77" i="2"/>
  <c r="G77" i="2"/>
  <c r="K76" i="2"/>
  <c r="I76" i="2"/>
  <c r="G76" i="2"/>
  <c r="K75" i="2"/>
  <c r="I75" i="2"/>
  <c r="G75" i="2"/>
  <c r="K74" i="2"/>
  <c r="I74" i="2"/>
  <c r="G74" i="2"/>
  <c r="K73" i="2"/>
  <c r="I73" i="2"/>
  <c r="G73" i="2"/>
  <c r="K72" i="2"/>
  <c r="I72" i="2"/>
  <c r="G72" i="2"/>
  <c r="K71" i="2"/>
  <c r="I71" i="2"/>
  <c r="G71" i="2"/>
  <c r="K70" i="2"/>
  <c r="I70" i="2"/>
  <c r="G70" i="2"/>
  <c r="K69" i="2"/>
  <c r="I69" i="2"/>
  <c r="G69" i="2"/>
  <c r="K68" i="2"/>
  <c r="I68" i="2"/>
  <c r="G68" i="2"/>
  <c r="K67" i="2"/>
  <c r="I67" i="2"/>
  <c r="G67" i="2"/>
  <c r="K66" i="2"/>
  <c r="I66" i="2"/>
  <c r="G66" i="2"/>
  <c r="K65" i="2"/>
  <c r="I65" i="2"/>
  <c r="G65" i="2"/>
  <c r="K64" i="2"/>
  <c r="I64" i="2"/>
  <c r="G64" i="2"/>
  <c r="K63" i="2"/>
  <c r="I63" i="2"/>
  <c r="G63" i="2"/>
  <c r="K62" i="2"/>
  <c r="I62" i="2"/>
  <c r="G62" i="2"/>
  <c r="E88" i="2"/>
  <c r="E87" i="2"/>
  <c r="E86" i="2"/>
  <c r="E85" i="2"/>
  <c r="E84" i="2"/>
  <c r="E83" i="2"/>
  <c r="E82" i="2"/>
  <c r="E81" i="2"/>
  <c r="E80" i="2"/>
  <c r="E79" i="2"/>
  <c r="E78" i="2"/>
  <c r="C85" i="2"/>
  <c r="C84" i="2"/>
  <c r="C83" i="2"/>
  <c r="C82" i="2"/>
  <c r="C81" i="2"/>
  <c r="C80" i="2"/>
  <c r="C79" i="2"/>
  <c r="C78" i="2"/>
  <c r="C77" i="2"/>
  <c r="C76" i="2"/>
  <c r="C75" i="2"/>
  <c r="A82" i="2"/>
  <c r="A81" i="2"/>
  <c r="A80" i="2"/>
  <c r="A79" i="2"/>
  <c r="A78" i="2"/>
  <c r="A77" i="2"/>
  <c r="A76" i="2"/>
  <c r="A75" i="2"/>
  <c r="A74" i="2"/>
  <c r="A73" i="2"/>
  <c r="A72" i="2"/>
  <c r="E76" i="2"/>
  <c r="E77" i="2"/>
  <c r="E75" i="2"/>
  <c r="E74" i="2"/>
  <c r="E73" i="2"/>
  <c r="E72" i="2"/>
  <c r="A70" i="2"/>
  <c r="A71" i="2"/>
  <c r="C74" i="2"/>
  <c r="C73" i="2"/>
  <c r="C72" i="2"/>
  <c r="C71" i="2"/>
  <c r="E71" i="2"/>
  <c r="E70" i="2"/>
  <c r="E69" i="2"/>
  <c r="C70" i="2"/>
  <c r="C69" i="2"/>
  <c r="A69" i="2"/>
  <c r="E68" i="2"/>
  <c r="E67" i="2"/>
  <c r="C68" i="2"/>
  <c r="C67" i="2"/>
  <c r="A68" i="2"/>
  <c r="A67" i="2"/>
  <c r="E66" i="2"/>
  <c r="E65" i="2"/>
  <c r="C66" i="2"/>
  <c r="C65" i="2"/>
  <c r="A66" i="2"/>
  <c r="A65" i="2"/>
  <c r="E64" i="2"/>
  <c r="E63" i="2"/>
  <c r="E62" i="2"/>
  <c r="A64" i="2"/>
  <c r="A63" i="2"/>
  <c r="A62" i="2"/>
  <c r="C62" i="2"/>
  <c r="C63" i="2"/>
  <c r="C64" i="2"/>
  <c r="E553" i="2"/>
</calcChain>
</file>

<file path=xl/sharedStrings.xml><?xml version="1.0" encoding="utf-8"?>
<sst xmlns="http://schemas.openxmlformats.org/spreadsheetml/2006/main" count="781" uniqueCount="302">
  <si>
    <t>Design Type</t>
  </si>
  <si>
    <t>IN-4.5M-RIT-MP</t>
  </si>
  <si>
    <t>IN-6.0M-RIT-CR-MP</t>
  </si>
  <si>
    <t>IN-6.0M-RIT-CNTR-MP</t>
  </si>
  <si>
    <t>IN-9.0M-RIT-CR-MP</t>
  </si>
  <si>
    <t>IN-3.0M-RIT-MP</t>
  </si>
  <si>
    <t>IN-6.0M-RIT-VF-MP</t>
  </si>
  <si>
    <t>IN-9.0M-RIT-VF-MP</t>
  </si>
  <si>
    <t>IN-9.0M-RIT-RTP3-CNTR-MP</t>
  </si>
  <si>
    <t>IN-6.0M-RIT-SYAL&amp;ASS-MP</t>
  </si>
  <si>
    <t>INDUS-6.0M-RIT-GVD&amp;ASS-MP</t>
  </si>
  <si>
    <t>IN-7.5M-RIT-SYAL&amp;ASS-MP</t>
  </si>
  <si>
    <t>Strengthing Data Inputs</t>
  </si>
  <si>
    <t>Existing Pole Data Inputs</t>
  </si>
  <si>
    <t>Existing pole pedestal width</t>
  </si>
  <si>
    <t>Existing pole pedestal Hight</t>
  </si>
  <si>
    <t>SPD</t>
  </si>
  <si>
    <t>Select design name</t>
  </si>
  <si>
    <t>New clamp plate tickness</t>
  </si>
  <si>
    <t>New Strengthing bolts types</t>
  </si>
  <si>
    <t>M16</t>
  </si>
  <si>
    <t>M12</t>
  </si>
  <si>
    <t>New flange joint plate tickness</t>
  </si>
  <si>
    <t>Existing pole Hight</t>
  </si>
  <si>
    <t>Existing pole panel-1 Hight</t>
  </si>
  <si>
    <t>Existing pole panel-2 Hight</t>
  </si>
  <si>
    <t>Number of pole joint</t>
  </si>
  <si>
    <t>Existing pole panel-0 Hight</t>
  </si>
  <si>
    <t>Existing pole at panel 0</t>
  </si>
  <si>
    <t>Existing pole at panel 1</t>
  </si>
  <si>
    <t>Existing pole at panel 2</t>
  </si>
  <si>
    <t>Tickness</t>
  </si>
  <si>
    <t>Diameter</t>
  </si>
  <si>
    <t>Number Existing structs</t>
  </si>
  <si>
    <t xml:space="preserve">Existing struct "Y" distance </t>
  </si>
  <si>
    <t xml:space="preserve">Existing struct "X" distance </t>
  </si>
  <si>
    <t>Existing struct pedestal width</t>
  </si>
  <si>
    <t>Existing struct pedestal Hight</t>
  </si>
  <si>
    <t>Angle between two existing structs</t>
  </si>
  <si>
    <t>Existing struct Type</t>
  </si>
  <si>
    <t>Existing struct size</t>
  </si>
  <si>
    <t>Number Existing Hip members</t>
  </si>
  <si>
    <t>Number Existing members on pole</t>
  </si>
  <si>
    <t>Number of new structs</t>
  </si>
  <si>
    <t>New Struct "Y" distance</t>
  </si>
  <si>
    <t>New Struct "X" distance</t>
  </si>
  <si>
    <t>New Struct pedestal width</t>
  </si>
  <si>
    <t>New Struct pedestal hight</t>
  </si>
  <si>
    <t>Angle Between the two structs(plan)</t>
  </si>
  <si>
    <t>New Struct pedestal Baseplate tickness</t>
  </si>
  <si>
    <t>A</t>
  </si>
  <si>
    <t>Select Member Type</t>
  </si>
  <si>
    <t>P</t>
  </si>
  <si>
    <t>New Struct Type (A/P)</t>
  </si>
  <si>
    <t>New Struct Size</t>
  </si>
  <si>
    <t>Number of New hip member</t>
  </si>
  <si>
    <t>Number of new member on face</t>
  </si>
  <si>
    <t>New hip (member-1) connection hight from slab level</t>
  </si>
  <si>
    <t>New hip member-1 type (A/P)</t>
  </si>
  <si>
    <t>New hip member-1 connection hight from slab level</t>
  </si>
  <si>
    <t>New hip member-1 size</t>
  </si>
  <si>
    <t>New member-1 connection hight from slab level</t>
  </si>
  <si>
    <t>New member-1 type (A/P)</t>
  </si>
  <si>
    <t>New member-1 size</t>
  </si>
  <si>
    <t>48.3x2.9</t>
  </si>
  <si>
    <t>48.3x3.2</t>
  </si>
  <si>
    <t>48.3x4.0</t>
  </si>
  <si>
    <t>60.3x2.9</t>
  </si>
  <si>
    <t>60.3x3.6</t>
  </si>
  <si>
    <t>60.3x4.5</t>
  </si>
  <si>
    <t>76.1x3.2</t>
  </si>
  <si>
    <t>76.1x3.6</t>
  </si>
  <si>
    <t>76.1x4.5</t>
  </si>
  <si>
    <t>88.9x3.2</t>
  </si>
  <si>
    <t>88.9x4.0</t>
  </si>
  <si>
    <t>88.9x4.8</t>
  </si>
  <si>
    <t>101.6x3.6</t>
  </si>
  <si>
    <t>101.6x4.0</t>
  </si>
  <si>
    <t>101.6x4.8</t>
  </si>
  <si>
    <t>114.3x3.6</t>
  </si>
  <si>
    <t>114.3x4.5</t>
  </si>
  <si>
    <t>114.3x5.4</t>
  </si>
  <si>
    <t>139.7x4.5</t>
  </si>
  <si>
    <t>139.7x4.8</t>
  </si>
  <si>
    <t>139.7x5.4</t>
  </si>
  <si>
    <t>sections</t>
  </si>
  <si>
    <t>SPOLE</t>
  </si>
  <si>
    <t>IN-6.0M-RIT-GVD&amp;ASS-MP</t>
  </si>
  <si>
    <t>ang_name</t>
  </si>
  <si>
    <t>pipe_name</t>
  </si>
  <si>
    <t>design_name_opt</t>
  </si>
  <si>
    <t>;</t>
  </si>
  <si>
    <t>IN-4.5M-RIT-MP;IN-6.0M-RIT-CR-MP;IN-6.0M-RIT-CNTR-MP;IN-9.0M-RIT-CR-MP</t>
  </si>
  <si>
    <t>FOR "0" JOINT</t>
  </si>
  <si>
    <t>FOR "1" JOINT</t>
  </si>
  <si>
    <t>FOR "2" JOINT</t>
  </si>
  <si>
    <t>SOL-1</t>
  </si>
  <si>
    <t>SOL-2</t>
  </si>
  <si>
    <t>SOL-3</t>
  </si>
  <si>
    <t>SOL-4</t>
  </si>
  <si>
    <t>SOL-5</t>
  </si>
  <si>
    <t>L7=0</t>
  </si>
  <si>
    <t>R7=0</t>
  </si>
  <si>
    <t>L7=1</t>
  </si>
  <si>
    <t>R7=1</t>
  </si>
  <si>
    <t>L7=2</t>
  </si>
  <si>
    <t>R7=2</t>
  </si>
  <si>
    <t>In-4.5m-RIT-mp</t>
  </si>
  <si>
    <t>In-6.0m-RIT-CR-mp</t>
  </si>
  <si>
    <t>In-6.0m-RIT-Cntr-mp</t>
  </si>
  <si>
    <t>In-9.0m-RIT-CR-mp</t>
  </si>
  <si>
    <t>In-3.0m-RIT-mp</t>
  </si>
  <si>
    <t>In-6.0m-RIT-CNTR-90-mp</t>
  </si>
  <si>
    <t>In-6.0m-RIT-CR-90-mp</t>
  </si>
  <si>
    <t>In-6.0m-RIT-VF-mp</t>
  </si>
  <si>
    <t>In-9.0m-RIT-VF-mp</t>
  </si>
  <si>
    <t>In-9.0m-RIT-RTP3-CNTR-mp</t>
  </si>
  <si>
    <t>In-6.0m-RIT-SYAL&amp;ASS-mp</t>
  </si>
  <si>
    <t>In-7.5m-RIT-SYAL&amp;ASS-mp</t>
  </si>
  <si>
    <t>IN-6.0m-RIT-GVD&amp;ASS-mp</t>
  </si>
  <si>
    <t>IN-6.0M-RIT-CNTR-90-MP</t>
  </si>
  <si>
    <t>IN-6.0M-RIT-CR-90-MP</t>
  </si>
  <si>
    <t>0_1</t>
  </si>
  <si>
    <t>0_2</t>
  </si>
  <si>
    <t>0_3</t>
  </si>
  <si>
    <t>0_4</t>
  </si>
  <si>
    <t>0_5</t>
  </si>
  <si>
    <t>0_6</t>
  </si>
  <si>
    <t>0_7</t>
  </si>
  <si>
    <t>0_8</t>
  </si>
  <si>
    <t>0_9</t>
  </si>
  <si>
    <t>0_10</t>
  </si>
  <si>
    <t>0_11</t>
  </si>
  <si>
    <t>0_12</t>
  </si>
  <si>
    <t>0_13</t>
  </si>
  <si>
    <t>0_14</t>
  </si>
  <si>
    <t>0_15</t>
  </si>
  <si>
    <t>0_16</t>
  </si>
  <si>
    <t>1_1</t>
  </si>
  <si>
    <t>1_2</t>
  </si>
  <si>
    <t>3_1</t>
  </si>
  <si>
    <t>3_2</t>
  </si>
  <si>
    <t>5_1</t>
  </si>
  <si>
    <t>5_2</t>
  </si>
  <si>
    <t>7_1</t>
  </si>
  <si>
    <t>7_2</t>
  </si>
  <si>
    <t>9_1</t>
  </si>
  <si>
    <t>9_2</t>
  </si>
  <si>
    <t>10_1</t>
  </si>
  <si>
    <t>10_2</t>
  </si>
  <si>
    <t>1_3</t>
  </si>
  <si>
    <t>1_4</t>
  </si>
  <si>
    <t>1_5</t>
  </si>
  <si>
    <t>1_6</t>
  </si>
  <si>
    <t>1_7</t>
  </si>
  <si>
    <t>1_8</t>
  </si>
  <si>
    <t>1_9</t>
  </si>
  <si>
    <t>1_10</t>
  </si>
  <si>
    <t>1_11</t>
  </si>
  <si>
    <t>1_12</t>
  </si>
  <si>
    <t>1_13</t>
  </si>
  <si>
    <t>1_14</t>
  </si>
  <si>
    <t>1_15</t>
  </si>
  <si>
    <t>1_16</t>
  </si>
  <si>
    <t>3_3</t>
  </si>
  <si>
    <t>3_4</t>
  </si>
  <si>
    <t>3_5</t>
  </si>
  <si>
    <t>3_6</t>
  </si>
  <si>
    <t>3_7</t>
  </si>
  <si>
    <t>3_8</t>
  </si>
  <si>
    <t>3_9</t>
  </si>
  <si>
    <t>3_10</t>
  </si>
  <si>
    <t>3_11</t>
  </si>
  <si>
    <t>3_12</t>
  </si>
  <si>
    <t>3_13</t>
  </si>
  <si>
    <t>3_14</t>
  </si>
  <si>
    <t>3_15</t>
  </si>
  <si>
    <t>3_16</t>
  </si>
  <si>
    <t>5_3</t>
  </si>
  <si>
    <t>5_4</t>
  </si>
  <si>
    <t>5_5</t>
  </si>
  <si>
    <t>5_6</t>
  </si>
  <si>
    <t>5_7</t>
  </si>
  <si>
    <t>5_8</t>
  </si>
  <si>
    <t>5_9</t>
  </si>
  <si>
    <t>5_10</t>
  </si>
  <si>
    <t>5_11</t>
  </si>
  <si>
    <t>5_12</t>
  </si>
  <si>
    <t>5_13</t>
  </si>
  <si>
    <t>5_14</t>
  </si>
  <si>
    <t>5_15</t>
  </si>
  <si>
    <t>5_16</t>
  </si>
  <si>
    <t>7_3</t>
  </si>
  <si>
    <t>7_4</t>
  </si>
  <si>
    <t>7_5</t>
  </si>
  <si>
    <t>7_6</t>
  </si>
  <si>
    <t>7_7</t>
  </si>
  <si>
    <t>7_8</t>
  </si>
  <si>
    <t>7_9</t>
  </si>
  <si>
    <t>7_10</t>
  </si>
  <si>
    <t>7_11</t>
  </si>
  <si>
    <t>7_12</t>
  </si>
  <si>
    <t>7_13</t>
  </si>
  <si>
    <t>7_14</t>
  </si>
  <si>
    <t>7_15</t>
  </si>
  <si>
    <t>7_16</t>
  </si>
  <si>
    <t>9_3</t>
  </si>
  <si>
    <t>9_4</t>
  </si>
  <si>
    <t>9_5</t>
  </si>
  <si>
    <t>9_6</t>
  </si>
  <si>
    <t>9_7</t>
  </si>
  <si>
    <t>9_8</t>
  </si>
  <si>
    <t>9_9</t>
  </si>
  <si>
    <t>9_10</t>
  </si>
  <si>
    <t>9_11</t>
  </si>
  <si>
    <t>9_12</t>
  </si>
  <si>
    <t>9_13</t>
  </si>
  <si>
    <t>9_14</t>
  </si>
  <si>
    <t>9_15</t>
  </si>
  <si>
    <t>9_16</t>
  </si>
  <si>
    <t>10_3</t>
  </si>
  <si>
    <t>10_4</t>
  </si>
  <si>
    <t>10_5</t>
  </si>
  <si>
    <t>10_6</t>
  </si>
  <si>
    <t>10_7</t>
  </si>
  <si>
    <t>10_8</t>
  </si>
  <si>
    <t>10_9</t>
  </si>
  <si>
    <t>10_10</t>
  </si>
  <si>
    <t>10_11</t>
  </si>
  <si>
    <t>10_12</t>
  </si>
  <si>
    <t>10_13</t>
  </si>
  <si>
    <t>10_14</t>
  </si>
  <si>
    <t>10_15</t>
  </si>
  <si>
    <t>10_16</t>
  </si>
  <si>
    <t>Site Name</t>
  </si>
  <si>
    <t>Pole Number</t>
  </si>
  <si>
    <t>IN-9.0M-RIT-RTP3-CR-MP</t>
  </si>
  <si>
    <t>12_1</t>
  </si>
  <si>
    <t>12_2</t>
  </si>
  <si>
    <t>12_3</t>
  </si>
  <si>
    <t>12_4</t>
  </si>
  <si>
    <t>12_5</t>
  </si>
  <si>
    <t>12_6</t>
  </si>
  <si>
    <t>12_7</t>
  </si>
  <si>
    <t>12_8</t>
  </si>
  <si>
    <t>12_9</t>
  </si>
  <si>
    <t>12_10</t>
  </si>
  <si>
    <t>12_11</t>
  </si>
  <si>
    <t>12_12</t>
  </si>
  <si>
    <t>12_13</t>
  </si>
  <si>
    <t>12_14</t>
  </si>
  <si>
    <t>12_15</t>
  </si>
  <si>
    <t>12_16</t>
  </si>
  <si>
    <t>Indicates Values That Will Enter Manuvally</t>
  </si>
  <si>
    <t>venki</t>
  </si>
  <si>
    <t>SOL-6</t>
  </si>
  <si>
    <t>Strengthing Data Inputs For Existing Struct</t>
  </si>
  <si>
    <t>SECOUND STRUCT</t>
  </si>
  <si>
    <t>Strengthing Struct Number</t>
  </si>
  <si>
    <t>SOL4</t>
  </si>
  <si>
    <t>IN-4.5M-RIT-MP-30</t>
  </si>
  <si>
    <t>In-4.5m-RIT-90-mp</t>
  </si>
  <si>
    <t>In-6.0m-RIT-120-CNTR-mp</t>
  </si>
  <si>
    <t>In-6.0m-RIT-90-CNTR-mp</t>
  </si>
  <si>
    <t>In-6.0m-RIT-90-CR-mp</t>
  </si>
  <si>
    <t>In-6.0m-RIT1-90-CR-mp</t>
  </si>
  <si>
    <t>In-6.0m-RIT-90-GVD&amp;ASS-mp</t>
  </si>
  <si>
    <t>In-6.0m-RIT-120-SYAL&amp;ASS-mp</t>
  </si>
  <si>
    <t>In-6.0m-RIT-90-VF-mp</t>
  </si>
  <si>
    <t>In-7.5m-RIT-120-SYAL&amp;ASS-mp</t>
  </si>
  <si>
    <t>In-9.0m-RIT-90-CR-mp</t>
  </si>
  <si>
    <t>In-9.0m-RIT-RTP3-90-CNTR-mp</t>
  </si>
  <si>
    <t>In-9.0m-RIT-RTP3-90-CR-mp</t>
  </si>
  <si>
    <t>In-9.0m-RIT-90-VF-mp</t>
  </si>
  <si>
    <t>IN-6.0m-RIT-GVD&amp;ASS-MP</t>
  </si>
  <si>
    <t>IN-4.5m-RIT-90-MP</t>
  </si>
  <si>
    <t>IN-4.5m-RIT-mp</t>
  </si>
  <si>
    <t>IN-6.0m-RIT-120-CNTR-MP</t>
  </si>
  <si>
    <t>IN-6.0m-RIT-CR-MP</t>
  </si>
  <si>
    <t>IN-6.0m-RIT-90-CNTR-MP</t>
  </si>
  <si>
    <t>IN-6.0m-RIT-Cntr-MP</t>
  </si>
  <si>
    <t>IN-6.0m-RIT-90-CR-MP</t>
  </si>
  <si>
    <t>IN-9.0m-RIT-CR-MP</t>
  </si>
  <si>
    <t>IN-6.0m-RIT1-90-CR-MP</t>
  </si>
  <si>
    <t>IN-6.0m-RIT-CNTR-90-MP</t>
  </si>
  <si>
    <t>IN-3.0m-RIT-MP</t>
  </si>
  <si>
    <t>IN-6.0m-RIT-90-GVD&amp;ASS-MP</t>
  </si>
  <si>
    <t>IN-6.0m-RIT-CR-90-MP</t>
  </si>
  <si>
    <t>IN-6.0m-RIT-120-SYAL&amp;ASS-MP</t>
  </si>
  <si>
    <t>IN-6.0m-RIT-VF-MP</t>
  </si>
  <si>
    <t>IN-6.0m-RIT-90-VF-MP</t>
  </si>
  <si>
    <t>IN-9.0m-RIT-VF-MP</t>
  </si>
  <si>
    <t>IN-7.5m-RIT-120-SYAL&amp;ASS-MP</t>
  </si>
  <si>
    <t>IN-9.0m-RIT-RTP3-CNTR-MP</t>
  </si>
  <si>
    <t>IN-9.0m-RIT-90-CR-MP</t>
  </si>
  <si>
    <t>IN-6.0m-RIT-SYAL&amp;ASS-MP</t>
  </si>
  <si>
    <t>IN-9.0m-RIT-RTP3-90-CNTR-MP</t>
  </si>
  <si>
    <t>IN-7.5m-RIT-SYAL&amp;ASS-MP</t>
  </si>
  <si>
    <t>IN-9.0m-RIT-RTP3-90-CR-MP</t>
  </si>
  <si>
    <t>IN-9.0m-RIT-90-VF-mp</t>
  </si>
  <si>
    <t>IN-1234567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</si>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</sst>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rgb="FF000000"/>
      <name val="Arial Black"/>
      <family val="2"/>
    </font>
    <font>
      <i/>
      <sz val="13"/>
      <color rgb="FF000000"/>
      <name val="Arial Black"/>
      <family val="2"/>
    </font>
    <font>
      <b/>
      <sz val="8"/>
      <color rgb="FF000000"/>
      <name val="Arial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CC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-0.249977111117893"/>
      </left>
      <right/>
      <top style="thin">
        <color theme="6" tint="-0.249977111117893"/>
      </top>
      <bottom/>
      <diagonal/>
    </border>
    <border>
      <left/>
      <right/>
      <top style="thin">
        <color theme="6" tint="-0.249977111117893"/>
      </top>
      <bottom/>
      <diagonal/>
    </border>
    <border>
      <left/>
      <right style="thin">
        <color theme="6" tint="-0.249977111117893"/>
      </right>
      <top style="thin">
        <color theme="6" tint="-0.249977111117893"/>
      </top>
      <bottom/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theme="6" tint="-0.249977111117893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2" borderId="0" xfId="0" applyFill="1"/>
    <xf numFmtId="0" fontId="0" fillId="0" borderId="0" xfId="0" applyAlignment="1">
      <alignment vertical="center"/>
    </xf>
    <xf numFmtId="0" fontId="0" fillId="6" borderId="4" xfId="0" applyFill="1" applyBorder="1"/>
    <xf numFmtId="0" fontId="0" fillId="0" borderId="0" xfId="0" applyAlignment="1">
      <alignment horizontal="left"/>
    </xf>
    <xf numFmtId="0" fontId="0" fillId="0" borderId="0" xfId="0" applyBorder="1"/>
    <xf numFmtId="0" fontId="0" fillId="8" borderId="0" xfId="0" applyFill="1"/>
    <xf numFmtId="0" fontId="0" fillId="8" borderId="0" xfId="0" applyFill="1" applyBorder="1"/>
    <xf numFmtId="0" fontId="0" fillId="9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/>
    </xf>
    <xf numFmtId="0" fontId="0" fillId="10" borderId="0" xfId="0" applyFill="1" applyBorder="1" applyAlignment="1">
      <alignment horizontal="left"/>
    </xf>
    <xf numFmtId="0" fontId="0" fillId="8" borderId="13" xfId="0" applyFill="1" applyBorder="1"/>
    <xf numFmtId="0" fontId="0" fillId="8" borderId="14" xfId="0" applyFill="1" applyBorder="1"/>
    <xf numFmtId="0" fontId="0" fillId="9" borderId="13" xfId="0" applyFill="1" applyBorder="1" applyAlignment="1">
      <alignment horizontal="left" vertical="center"/>
    </xf>
    <xf numFmtId="0" fontId="0" fillId="0" borderId="14" xfId="0" applyBorder="1"/>
    <xf numFmtId="0" fontId="0" fillId="9" borderId="13" xfId="0" applyFill="1" applyBorder="1" applyAlignment="1">
      <alignment horizontal="left"/>
    </xf>
    <xf numFmtId="0" fontId="0" fillId="10" borderId="13" xfId="0" applyFill="1" applyBorder="1" applyAlignment="1">
      <alignment horizontal="left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10" borderId="16" xfId="0" applyFill="1" applyBorder="1" applyAlignment="1">
      <alignment horizontal="left"/>
    </xf>
    <xf numFmtId="0" fontId="0" fillId="0" borderId="17" xfId="0" applyBorder="1"/>
    <xf numFmtId="0" fontId="0" fillId="10" borderId="15" xfId="0" applyFill="1" applyBorder="1" applyAlignment="1">
      <alignment horizontal="left"/>
    </xf>
    <xf numFmtId="0" fontId="0" fillId="4" borderId="19" xfId="0" applyFont="1" applyFill="1" applyBorder="1" applyAlignment="1">
      <alignment vertical="center"/>
    </xf>
    <xf numFmtId="0" fontId="0" fillId="4" borderId="20" xfId="0" applyFont="1" applyFill="1" applyBorder="1" applyAlignment="1">
      <alignment vertical="center"/>
    </xf>
    <xf numFmtId="0" fontId="0" fillId="0" borderId="4" xfId="0" applyBorder="1" applyAlignment="1">
      <alignment horizontal="left" vertical="center"/>
    </xf>
    <xf numFmtId="0" fontId="0" fillId="11" borderId="0" xfId="0" applyFill="1" applyBorder="1"/>
    <xf numFmtId="0" fontId="0" fillId="0" borderId="3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12" borderId="19" xfId="0" applyFill="1" applyBorder="1"/>
    <xf numFmtId="0" fontId="0" fillId="12" borderId="18" xfId="0" applyFill="1" applyBorder="1"/>
    <xf numFmtId="0" fontId="0" fillId="12" borderId="20" xfId="0" applyFill="1" applyBorder="1"/>
    <xf numFmtId="0" fontId="0" fillId="11" borderId="19" xfId="0" applyFill="1" applyBorder="1"/>
    <xf numFmtId="0" fontId="0" fillId="11" borderId="18" xfId="0" applyFill="1" applyBorder="1"/>
    <xf numFmtId="0" fontId="0" fillId="11" borderId="20" xfId="0" applyFill="1" applyBorder="1"/>
    <xf numFmtId="0" fontId="0" fillId="7" borderId="4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1" borderId="21" xfId="0" applyFill="1" applyBorder="1"/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26" xfId="0" applyFill="1" applyBorder="1" applyAlignment="1">
      <alignment horizontal="left" vertical="center"/>
    </xf>
    <xf numFmtId="0" fontId="0" fillId="11" borderId="0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8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29" xfId="0" applyBorder="1" applyAlignment="1">
      <alignment horizontal="center" vertical="center"/>
    </xf>
    <xf numFmtId="0" fontId="0" fillId="13" borderId="0" xfId="0" applyFill="1"/>
    <xf numFmtId="0" fontId="0" fillId="11" borderId="25" xfId="0" applyFill="1" applyBorder="1"/>
    <xf numFmtId="0" fontId="0" fillId="11" borderId="22" xfId="0" applyFill="1" applyBorder="1"/>
    <xf numFmtId="0" fontId="0" fillId="7" borderId="6" xfId="0" applyFill="1" applyBorder="1" applyAlignment="1">
      <alignment horizontal="center" vertical="center"/>
    </xf>
    <xf numFmtId="0" fontId="0" fillId="11" borderId="31" xfId="0" applyFill="1" applyBorder="1"/>
    <xf numFmtId="0" fontId="0" fillId="11" borderId="32" xfId="0" applyFill="1" applyBorder="1"/>
    <xf numFmtId="0" fontId="0" fillId="11" borderId="32" xfId="0" applyFill="1" applyBorder="1" applyAlignment="1">
      <alignment horizontal="left"/>
    </xf>
    <xf numFmtId="0" fontId="0" fillId="11" borderId="33" xfId="0" applyFill="1" applyBorder="1"/>
    <xf numFmtId="0" fontId="0" fillId="11" borderId="3" xfId="0" applyFill="1" applyBorder="1"/>
    <xf numFmtId="0" fontId="0" fillId="2" borderId="0" xfId="0" applyFill="1" applyBorder="1"/>
    <xf numFmtId="0" fontId="0" fillId="4" borderId="0" xfId="0" applyFill="1" applyBorder="1"/>
    <xf numFmtId="0" fontId="0" fillId="5" borderId="1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4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9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12" borderId="27" xfId="0" applyFill="1" applyBorder="1" applyAlignment="1">
      <alignment horizontal="left" wrapText="1"/>
    </xf>
    <xf numFmtId="0" fontId="0" fillId="12" borderId="24" xfId="0" applyFill="1" applyBorder="1" applyAlignment="1">
      <alignment horizontal="left" wrapText="1"/>
    </xf>
    <xf numFmtId="0" fontId="0" fillId="12" borderId="23" xfId="0" applyFill="1" applyBorder="1" applyAlignment="1">
      <alignment horizontal="left" wrapText="1"/>
    </xf>
    <xf numFmtId="0" fontId="0" fillId="12" borderId="25" xfId="0" applyFill="1" applyBorder="1" applyAlignment="1">
      <alignment horizontal="left" wrapText="1"/>
    </xf>
    <xf numFmtId="0" fontId="0" fillId="12" borderId="21" xfId="0" applyFill="1" applyBorder="1" applyAlignment="1">
      <alignment horizontal="left" wrapText="1"/>
    </xf>
    <xf numFmtId="0" fontId="0" fillId="12" borderId="22" xfId="0" applyFill="1" applyBorder="1" applyAlignment="1">
      <alignment horizontal="left" wrapText="1"/>
    </xf>
    <xf numFmtId="0" fontId="0" fillId="4" borderId="2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2" borderId="19" xfId="0" applyFill="1" applyBorder="1" applyAlignment="1">
      <alignment horizontal="left"/>
    </xf>
    <xf numFmtId="0" fontId="0" fillId="12" borderId="18" xfId="0" applyFill="1" applyBorder="1" applyAlignment="1">
      <alignment horizontal="left"/>
    </xf>
    <xf numFmtId="0" fontId="0" fillId="12" borderId="30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11" borderId="34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CCFF"/>
      <color rgb="FF8AAC46"/>
      <color rgb="FF99FF66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42</xdr:row>
      <xdr:rowOff>104774</xdr:rowOff>
    </xdr:from>
    <xdr:to>
      <xdr:col>6</xdr:col>
      <xdr:colOff>314325</xdr:colOff>
      <xdr:row>44</xdr:row>
      <xdr:rowOff>114299</xdr:rowOff>
    </xdr:to>
    <xdr:sp macro="" textlink="">
      <xdr:nvSpPr>
        <xdr:cNvPr id="2" name="Right Brace 1"/>
        <xdr:cNvSpPr/>
      </xdr:nvSpPr>
      <xdr:spPr>
        <a:xfrm>
          <a:off x="3381375" y="8010524"/>
          <a:ext cx="257175" cy="390525"/>
        </a:xfrm>
        <a:prstGeom prst="rightBrac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314325</xdr:colOff>
      <xdr:row>43</xdr:row>
      <xdr:rowOff>109536</xdr:rowOff>
    </xdr:from>
    <xdr:to>
      <xdr:col>7</xdr:col>
      <xdr:colOff>276225</xdr:colOff>
      <xdr:row>45</xdr:row>
      <xdr:rowOff>171449</xdr:rowOff>
    </xdr:to>
    <xdr:cxnSp macro="">
      <xdr:nvCxnSpPr>
        <xdr:cNvPr id="3" name="Elbow Connector 2"/>
        <xdr:cNvCxnSpPr>
          <a:stCxn id="2" idx="1"/>
        </xdr:cNvCxnSpPr>
      </xdr:nvCxnSpPr>
      <xdr:spPr>
        <a:xfrm rot="10800000" flipH="1" flipV="1">
          <a:off x="3638550" y="8205786"/>
          <a:ext cx="428625" cy="442913"/>
        </a:xfrm>
        <a:prstGeom prst="bentConnector3">
          <a:avLst>
            <a:gd name="adj1" fmla="val 26667"/>
          </a:avLst>
        </a:prstGeom>
        <a:ln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44</xdr:row>
      <xdr:rowOff>104774</xdr:rowOff>
    </xdr:from>
    <xdr:to>
      <xdr:col>11</xdr:col>
      <xdr:colOff>295275</xdr:colOff>
      <xdr:row>47</xdr:row>
      <xdr:rowOff>76199</xdr:rowOff>
    </xdr:to>
    <xdr:sp macro="" textlink="">
      <xdr:nvSpPr>
        <xdr:cNvPr id="4" name="Rounded Rectangle 3"/>
        <xdr:cNvSpPr/>
      </xdr:nvSpPr>
      <xdr:spPr>
        <a:xfrm>
          <a:off x="4076700" y="8391524"/>
          <a:ext cx="2190750" cy="5429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TICKNESS</a:t>
          </a:r>
          <a:r>
            <a:rPr lang="en-US" sz="1100" baseline="0"/>
            <a:t> TO BE CHANGE BASED ON THE  SITE CONDUCTION AND DESIGN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</xdr:row>
          <xdr:rowOff>66675</xdr:rowOff>
        </xdr:from>
        <xdr:to>
          <xdr:col>16</xdr:col>
          <xdr:colOff>66675</xdr:colOff>
          <xdr:row>4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Hear To</a:t>
              </a:r>
              <a:endParaRPr lang="en-US" sz="1200" b="0" i="1" u="none" strike="noStrike" baseline="0">
                <a:solidFill>
                  <a:srgbClr val="000000"/>
                </a:solidFill>
                <a:latin typeface="Arial Black"/>
                <a:cs typeface="Arial"/>
              </a:endParaRPr>
            </a:p>
            <a:p>
              <a:pPr algn="ctr" rtl="0">
                <a:defRPr sz="1000"/>
              </a:pPr>
              <a:r>
                <a:rPr lang="en-US" sz="1300" b="0" i="1" u="none" strike="noStrike" baseline="0">
                  <a:solidFill>
                    <a:srgbClr val="000000"/>
                  </a:solidFill>
                  <a:latin typeface="Arial Black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557950</xdr:colOff>
      <xdr:row>1</xdr:row>
      <xdr:rowOff>109179</xdr:rowOff>
    </xdr:from>
    <xdr:to>
      <xdr:col>13</xdr:col>
      <xdr:colOff>529071</xdr:colOff>
      <xdr:row>1</xdr:row>
      <xdr:rowOff>239398</xdr:rowOff>
    </xdr:to>
    <xdr:sp macro="" textlink="">
      <xdr:nvSpPr>
        <xdr:cNvPr id="6" name="Rectangle 5"/>
        <xdr:cNvSpPr/>
      </xdr:nvSpPr>
      <xdr:spPr>
        <a:xfrm>
          <a:off x="7130200" y="109179"/>
          <a:ext cx="533096" cy="1302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3</xdr:row>
          <xdr:rowOff>19050</xdr:rowOff>
        </xdr:from>
        <xdr:to>
          <xdr:col>4</xdr:col>
          <xdr:colOff>571500</xdr:colOff>
          <xdr:row>4</xdr:row>
          <xdr:rowOff>152400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28575</xdr:rowOff>
        </xdr:from>
        <xdr:to>
          <xdr:col>7</xdr:col>
          <xdr:colOff>0</xdr:colOff>
          <xdr:row>4</xdr:row>
          <xdr:rowOff>152400</xdr:rowOff>
        </xdr:to>
        <xdr:sp macro="" textlink="">
          <xdr:nvSpPr>
            <xdr:cNvPr id="9229" name="CommandButton1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42</xdr:row>
      <xdr:rowOff>104774</xdr:rowOff>
    </xdr:from>
    <xdr:to>
      <xdr:col>6</xdr:col>
      <xdr:colOff>314325</xdr:colOff>
      <xdr:row>44</xdr:row>
      <xdr:rowOff>114299</xdr:rowOff>
    </xdr:to>
    <xdr:sp macro="" textlink="">
      <xdr:nvSpPr>
        <xdr:cNvPr id="2" name="Right Brace 1"/>
        <xdr:cNvSpPr/>
      </xdr:nvSpPr>
      <xdr:spPr>
        <a:xfrm>
          <a:off x="3714750" y="6286499"/>
          <a:ext cx="257175" cy="390525"/>
        </a:xfrm>
        <a:prstGeom prst="rightBrac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314325</xdr:colOff>
      <xdr:row>43</xdr:row>
      <xdr:rowOff>109536</xdr:rowOff>
    </xdr:from>
    <xdr:to>
      <xdr:col>7</xdr:col>
      <xdr:colOff>276225</xdr:colOff>
      <xdr:row>45</xdr:row>
      <xdr:rowOff>171449</xdr:rowOff>
    </xdr:to>
    <xdr:cxnSp macro="">
      <xdr:nvCxnSpPr>
        <xdr:cNvPr id="4" name="Elbow Connector 3"/>
        <xdr:cNvCxnSpPr>
          <a:stCxn id="2" idx="1"/>
        </xdr:cNvCxnSpPr>
      </xdr:nvCxnSpPr>
      <xdr:spPr>
        <a:xfrm rot="10800000" flipH="1" flipV="1">
          <a:off x="3971925" y="6481761"/>
          <a:ext cx="571500" cy="442913"/>
        </a:xfrm>
        <a:prstGeom prst="bentConnector3">
          <a:avLst>
            <a:gd name="adj1" fmla="val 26667"/>
          </a:avLst>
        </a:prstGeom>
        <a:ln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44</xdr:row>
      <xdr:rowOff>104774</xdr:rowOff>
    </xdr:from>
    <xdr:to>
      <xdr:col>11</xdr:col>
      <xdr:colOff>295275</xdr:colOff>
      <xdr:row>47</xdr:row>
      <xdr:rowOff>76199</xdr:rowOff>
    </xdr:to>
    <xdr:sp macro="" textlink="">
      <xdr:nvSpPr>
        <xdr:cNvPr id="15" name="Rounded Rectangle 14"/>
        <xdr:cNvSpPr/>
      </xdr:nvSpPr>
      <xdr:spPr>
        <a:xfrm>
          <a:off x="4552950" y="6667499"/>
          <a:ext cx="2486025" cy="5429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TICKNESS</a:t>
          </a:r>
          <a:r>
            <a:rPr lang="en-US" sz="1100" baseline="0"/>
            <a:t> TO BE CHANGE BASED ON THE  SITE CONDUCTION AND DESIGN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</xdr:row>
          <xdr:rowOff>66675</xdr:rowOff>
        </xdr:from>
        <xdr:to>
          <xdr:col>16</xdr:col>
          <xdr:colOff>66675</xdr:colOff>
          <xdr:row>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Hear To</a:t>
              </a:r>
              <a:endParaRPr lang="en-US" sz="1200" b="0" i="1" u="none" strike="noStrike" baseline="0">
                <a:solidFill>
                  <a:srgbClr val="000000"/>
                </a:solidFill>
                <a:latin typeface="Arial Black"/>
                <a:cs typeface="Arial"/>
              </a:endParaRPr>
            </a:p>
            <a:p>
              <a:pPr algn="ctr" rtl="0">
                <a:defRPr sz="1000"/>
              </a:pPr>
              <a:r>
                <a:rPr lang="en-US" sz="1300" b="0" i="1" u="none" strike="noStrike" baseline="0">
                  <a:solidFill>
                    <a:srgbClr val="000000"/>
                  </a:solidFill>
                  <a:latin typeface="Arial Black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62650</xdr:colOff>
      <xdr:row>1</xdr:row>
      <xdr:rowOff>109179</xdr:rowOff>
    </xdr:from>
    <xdr:to>
      <xdr:col>14</xdr:col>
      <xdr:colOff>33771</xdr:colOff>
      <xdr:row>1</xdr:row>
      <xdr:rowOff>239398</xdr:rowOff>
    </xdr:to>
    <xdr:sp macro="" textlink="">
      <xdr:nvSpPr>
        <xdr:cNvPr id="3" name="Rectangle 2"/>
        <xdr:cNvSpPr/>
      </xdr:nvSpPr>
      <xdr:spPr>
        <a:xfrm>
          <a:off x="7180423" y="109179"/>
          <a:ext cx="533962" cy="1302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J612"/>
  <sheetViews>
    <sheetView showGridLines="0" zoomScaleNormal="100" workbookViewId="0">
      <pane xSplit="1" topLeftCell="B1" activePane="topRight" state="frozen"/>
      <selection pane="topRight" activeCell="W17" sqref="W17"/>
    </sheetView>
  </sheetViews>
  <sheetFormatPr defaultRowHeight="15" x14ac:dyDescent="0.25"/>
  <cols>
    <col min="1" max="1" width="5.7109375" style="7" customWidth="1"/>
    <col min="2" max="2" width="8.42578125" customWidth="1"/>
    <col min="4" max="4" width="8.28515625" customWidth="1"/>
    <col min="7" max="7" width="7" customWidth="1"/>
    <col min="8" max="8" width="7.5703125" customWidth="1"/>
    <col min="10" max="10" width="8.28515625" customWidth="1"/>
    <col min="11" max="11" width="7.7109375" customWidth="1"/>
    <col min="12" max="12" width="9" customWidth="1"/>
    <col min="13" max="14" width="8.42578125" customWidth="1"/>
    <col min="16" max="16" width="7.7109375" customWidth="1"/>
    <col min="18" max="18" width="10.140625" style="6" customWidth="1"/>
  </cols>
  <sheetData>
    <row r="1" spans="1:31" ht="18" customHeight="1" thickBot="1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</row>
    <row r="2" spans="1:31" ht="23.25" customHeight="1" thickBot="1" x14ac:dyDescent="0.3">
      <c r="A2" s="28"/>
      <c r="B2" s="28"/>
      <c r="C2" s="28"/>
      <c r="D2" s="28"/>
      <c r="E2" s="28"/>
      <c r="F2" s="28"/>
      <c r="G2" s="28"/>
      <c r="H2" s="28"/>
      <c r="I2" s="68" t="s">
        <v>234</v>
      </c>
      <c r="J2" s="68"/>
      <c r="K2" s="25" t="s">
        <v>300</v>
      </c>
      <c r="L2" s="26"/>
      <c r="M2" s="28"/>
      <c r="N2" s="48"/>
      <c r="O2" s="46" t="s">
        <v>253</v>
      </c>
      <c r="P2" s="46"/>
      <c r="Q2" s="46"/>
      <c r="R2" s="47"/>
      <c r="S2" s="63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</row>
    <row r="3" spans="1:31" ht="21" customHeight="1" thickBot="1" x14ac:dyDescent="0.3">
      <c r="A3" s="28"/>
      <c r="B3" s="28"/>
      <c r="C3" s="69" t="s">
        <v>0</v>
      </c>
      <c r="D3" s="70"/>
      <c r="E3" s="71" t="s">
        <v>277</v>
      </c>
      <c r="F3" s="72"/>
      <c r="G3" s="73"/>
      <c r="H3" s="28"/>
      <c r="I3" s="74" t="s">
        <v>235</v>
      </c>
      <c r="J3" s="75"/>
      <c r="K3" s="25">
        <v>6</v>
      </c>
      <c r="L3" s="26"/>
      <c r="M3" s="28"/>
      <c r="N3" s="28"/>
      <c r="O3" s="28"/>
      <c r="P3" s="28"/>
      <c r="Q3" s="28"/>
      <c r="R3" s="28"/>
      <c r="S3" s="28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</row>
    <row r="4" spans="1:31" x14ac:dyDescent="0.25">
      <c r="A4" s="28"/>
      <c r="B4" s="45"/>
      <c r="C4" s="45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</row>
    <row r="5" spans="1:31" s="4" customFormat="1" ht="20.25" customHeight="1" thickBot="1" x14ac:dyDescent="0.3">
      <c r="A5" s="76" t="s">
        <v>12</v>
      </c>
      <c r="B5" s="77"/>
      <c r="C5" s="7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49"/>
      <c r="S5" s="28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</row>
    <row r="6" spans="1:31" ht="15.75" hidden="1" thickBo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49"/>
      <c r="S6" s="28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</row>
    <row r="7" spans="1:31" ht="15.75" thickBot="1" x14ac:dyDescent="0.3">
      <c r="A7" s="28"/>
      <c r="B7" s="37" t="s">
        <v>19</v>
      </c>
      <c r="C7" s="37"/>
      <c r="D7" s="37"/>
      <c r="E7" s="38"/>
      <c r="F7" s="29" t="s">
        <v>20</v>
      </c>
      <c r="G7" s="28"/>
      <c r="H7" s="36" t="s">
        <v>56</v>
      </c>
      <c r="I7" s="37"/>
      <c r="J7" s="37"/>
      <c r="K7" s="38"/>
      <c r="L7" s="29">
        <v>0</v>
      </c>
      <c r="M7" s="28"/>
      <c r="N7" s="36" t="s">
        <v>55</v>
      </c>
      <c r="O7" s="37"/>
      <c r="P7" s="37"/>
      <c r="Q7" s="38"/>
      <c r="R7" s="50">
        <v>0</v>
      </c>
      <c r="S7" s="28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</row>
    <row r="8" spans="1:31" ht="15" customHeight="1" x14ac:dyDescent="0.25">
      <c r="A8" s="28"/>
      <c r="B8" s="37" t="s">
        <v>18</v>
      </c>
      <c r="C8" s="37"/>
      <c r="D8" s="37"/>
      <c r="E8" s="38"/>
      <c r="F8" s="30">
        <v>6</v>
      </c>
      <c r="G8" s="28"/>
      <c r="H8" s="79" t="s">
        <v>61</v>
      </c>
      <c r="I8" s="80"/>
      <c r="J8" s="80"/>
      <c r="K8" s="81"/>
      <c r="L8" s="95">
        <v>1500</v>
      </c>
      <c r="M8" s="28"/>
      <c r="N8" s="79" t="s">
        <v>59</v>
      </c>
      <c r="O8" s="80"/>
      <c r="P8" s="80"/>
      <c r="Q8" s="81"/>
      <c r="R8" s="97">
        <v>1500</v>
      </c>
      <c r="S8" s="28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</row>
    <row r="9" spans="1:31" ht="15.75" thickBot="1" x14ac:dyDescent="0.3">
      <c r="A9" s="28"/>
      <c r="B9" s="37" t="s">
        <v>22</v>
      </c>
      <c r="C9" s="37"/>
      <c r="D9" s="37"/>
      <c r="E9" s="38"/>
      <c r="F9" s="27">
        <v>6</v>
      </c>
      <c r="G9" s="28"/>
      <c r="H9" s="82"/>
      <c r="I9" s="83"/>
      <c r="J9" s="83"/>
      <c r="K9" s="84"/>
      <c r="L9" s="96"/>
      <c r="M9" s="28"/>
      <c r="N9" s="82"/>
      <c r="O9" s="83"/>
      <c r="P9" s="83"/>
      <c r="Q9" s="84"/>
      <c r="R9" s="98"/>
      <c r="S9" s="28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</row>
    <row r="10" spans="1:31" ht="15.75" thickBot="1" x14ac:dyDescent="0.3">
      <c r="A10" s="28"/>
      <c r="B10" s="28"/>
      <c r="C10" s="28"/>
      <c r="D10" s="28"/>
      <c r="E10" s="28"/>
      <c r="F10" s="31"/>
      <c r="G10" s="28"/>
      <c r="H10" s="36" t="s">
        <v>62</v>
      </c>
      <c r="I10" s="37"/>
      <c r="J10" s="37"/>
      <c r="K10" s="38"/>
      <c r="L10" s="29" t="s">
        <v>50</v>
      </c>
      <c r="M10" s="28"/>
      <c r="N10" s="36" t="s">
        <v>58</v>
      </c>
      <c r="O10" s="37"/>
      <c r="P10" s="37"/>
      <c r="Q10" s="38"/>
      <c r="R10" s="50" t="s">
        <v>50</v>
      </c>
      <c r="S10" s="28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</row>
    <row r="11" spans="1:31" ht="15.75" thickBot="1" x14ac:dyDescent="0.3">
      <c r="A11" s="28"/>
      <c r="B11" s="37" t="s">
        <v>43</v>
      </c>
      <c r="C11" s="37"/>
      <c r="D11" s="37"/>
      <c r="E11" s="38"/>
      <c r="F11" s="29">
        <v>1</v>
      </c>
      <c r="G11" s="28"/>
      <c r="H11" s="36" t="s">
        <v>63</v>
      </c>
      <c r="I11" s="37"/>
      <c r="J11" s="37"/>
      <c r="K11" s="38"/>
      <c r="L11" s="29">
        <v>455</v>
      </c>
      <c r="M11" s="28"/>
      <c r="N11" s="36" t="s">
        <v>60</v>
      </c>
      <c r="O11" s="37"/>
      <c r="P11" s="37"/>
      <c r="Q11" s="38"/>
      <c r="R11" s="50">
        <v>455</v>
      </c>
      <c r="S11" s="28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</row>
    <row r="12" spans="1:31" x14ac:dyDescent="0.25">
      <c r="A12" s="28"/>
      <c r="B12" s="37" t="s">
        <v>45</v>
      </c>
      <c r="C12" s="37"/>
      <c r="D12" s="37"/>
      <c r="E12" s="38"/>
      <c r="F12" s="32">
        <v>2500</v>
      </c>
      <c r="G12" s="28"/>
      <c r="H12" s="28"/>
      <c r="I12" s="28"/>
      <c r="J12" s="28"/>
      <c r="K12" s="28"/>
      <c r="L12" s="31"/>
      <c r="M12" s="28"/>
      <c r="N12" s="28"/>
      <c r="O12" s="28"/>
      <c r="P12" s="28"/>
      <c r="Q12" s="28"/>
      <c r="R12" s="49"/>
      <c r="S12" s="28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</row>
    <row r="13" spans="1:31" ht="15" customHeight="1" x14ac:dyDescent="0.25">
      <c r="A13" s="28"/>
      <c r="B13" s="37" t="s">
        <v>44</v>
      </c>
      <c r="C13" s="37"/>
      <c r="D13" s="37"/>
      <c r="E13" s="38"/>
      <c r="F13" s="33">
        <v>4500</v>
      </c>
      <c r="G13" s="28"/>
      <c r="H13" s="79" t="s">
        <v>61</v>
      </c>
      <c r="I13" s="80"/>
      <c r="J13" s="80"/>
      <c r="K13" s="81"/>
      <c r="L13" s="98">
        <v>2500</v>
      </c>
      <c r="M13" s="28"/>
      <c r="N13" s="79" t="s">
        <v>57</v>
      </c>
      <c r="O13" s="80"/>
      <c r="P13" s="80"/>
      <c r="Q13" s="81"/>
      <c r="R13" s="99">
        <v>2500</v>
      </c>
      <c r="S13" s="28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</row>
    <row r="14" spans="1:31" ht="15.75" thickBot="1" x14ac:dyDescent="0.3">
      <c r="A14" s="28"/>
      <c r="B14" s="37" t="s">
        <v>46</v>
      </c>
      <c r="C14" s="37"/>
      <c r="D14" s="37"/>
      <c r="E14" s="38"/>
      <c r="F14" s="33">
        <v>250</v>
      </c>
      <c r="G14" s="28"/>
      <c r="H14" s="82"/>
      <c r="I14" s="83"/>
      <c r="J14" s="83"/>
      <c r="K14" s="84"/>
      <c r="L14" s="96"/>
      <c r="M14" s="28"/>
      <c r="N14" s="82"/>
      <c r="O14" s="83"/>
      <c r="P14" s="83"/>
      <c r="Q14" s="84"/>
      <c r="R14" s="100"/>
      <c r="S14" s="28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</row>
    <row r="15" spans="1:31" ht="15.75" thickBot="1" x14ac:dyDescent="0.3">
      <c r="A15" s="28"/>
      <c r="B15" s="37" t="s">
        <v>47</v>
      </c>
      <c r="C15" s="37"/>
      <c r="D15" s="37"/>
      <c r="E15" s="38"/>
      <c r="F15" s="33">
        <v>250</v>
      </c>
      <c r="G15" s="28"/>
      <c r="H15" s="36" t="s">
        <v>62</v>
      </c>
      <c r="I15" s="37"/>
      <c r="J15" s="37"/>
      <c r="K15" s="38"/>
      <c r="L15" s="29" t="s">
        <v>50</v>
      </c>
      <c r="M15" s="28"/>
      <c r="N15" s="36" t="s">
        <v>58</v>
      </c>
      <c r="O15" s="37"/>
      <c r="P15" s="37"/>
      <c r="Q15" s="38"/>
      <c r="R15" s="50" t="s">
        <v>50</v>
      </c>
      <c r="S15" s="28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</row>
    <row r="16" spans="1:31" ht="15.75" thickBot="1" x14ac:dyDescent="0.3">
      <c r="A16" s="28"/>
      <c r="B16" s="37" t="s">
        <v>48</v>
      </c>
      <c r="C16" s="37"/>
      <c r="D16" s="37"/>
      <c r="E16" s="38"/>
      <c r="F16" s="33">
        <v>120</v>
      </c>
      <c r="G16" s="28"/>
      <c r="H16" s="36" t="s">
        <v>63</v>
      </c>
      <c r="I16" s="37"/>
      <c r="J16" s="37"/>
      <c r="K16" s="38"/>
      <c r="L16" s="29">
        <v>455</v>
      </c>
      <c r="M16" s="28"/>
      <c r="N16" s="36" t="s">
        <v>60</v>
      </c>
      <c r="O16" s="37"/>
      <c r="P16" s="37"/>
      <c r="Q16" s="38"/>
      <c r="R16" s="50">
        <v>455</v>
      </c>
      <c r="S16" s="28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</row>
    <row r="17" spans="1:31" ht="15.75" thickBot="1" x14ac:dyDescent="0.3">
      <c r="A17" s="28"/>
      <c r="B17" s="37" t="s">
        <v>49</v>
      </c>
      <c r="C17" s="37"/>
      <c r="D17" s="37"/>
      <c r="E17" s="38"/>
      <c r="F17" s="34">
        <v>20</v>
      </c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49"/>
      <c r="S17" s="28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</row>
    <row r="18" spans="1:31" ht="15.75" thickBot="1" x14ac:dyDescent="0.3">
      <c r="A18" s="28"/>
      <c r="B18" s="37" t="s">
        <v>53</v>
      </c>
      <c r="C18" s="37"/>
      <c r="D18" s="37"/>
      <c r="E18" s="38"/>
      <c r="F18" s="29" t="s">
        <v>50</v>
      </c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49"/>
      <c r="S18" s="28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</row>
    <row r="19" spans="1:31" ht="15.75" thickBot="1" x14ac:dyDescent="0.3">
      <c r="A19" s="28"/>
      <c r="B19" s="37" t="s">
        <v>54</v>
      </c>
      <c r="C19" s="37"/>
      <c r="D19" s="37"/>
      <c r="E19" s="38"/>
      <c r="F19" s="29">
        <v>655</v>
      </c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49"/>
      <c r="S19" s="28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</row>
    <row r="20" spans="1:3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49"/>
      <c r="S20" s="28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</row>
    <row r="21" spans="1:31" ht="15" hidden="1" customHeight="1" thickBot="1" x14ac:dyDescent="0.3">
      <c r="A21" s="85" t="s">
        <v>256</v>
      </c>
      <c r="B21" s="86"/>
      <c r="C21" s="86"/>
      <c r="D21" s="86"/>
      <c r="E21" s="86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</row>
    <row r="22" spans="1:31" ht="15.75" hidden="1" customHeight="1" thickBot="1" x14ac:dyDescent="0.3">
      <c r="A22" s="28"/>
      <c r="B22" s="28"/>
      <c r="C22" s="28"/>
      <c r="D22" s="28"/>
      <c r="E22" s="28"/>
      <c r="F22" s="28"/>
      <c r="G22" s="28"/>
      <c r="H22" s="36" t="s">
        <v>56</v>
      </c>
      <c r="I22" s="37"/>
      <c r="J22" s="37"/>
      <c r="K22" s="38"/>
      <c r="L22" s="29">
        <v>1</v>
      </c>
      <c r="M22" s="28"/>
      <c r="N22" s="36" t="s">
        <v>55</v>
      </c>
      <c r="O22" s="37"/>
      <c r="P22" s="37"/>
      <c r="Q22" s="38"/>
      <c r="R22" s="50">
        <v>0</v>
      </c>
      <c r="S22" s="28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</row>
    <row r="23" spans="1:31" ht="15" hidden="1" customHeight="1" thickBot="1" x14ac:dyDescent="0.3">
      <c r="A23" s="28"/>
      <c r="B23" s="87" t="s">
        <v>258</v>
      </c>
      <c r="C23" s="88"/>
      <c r="D23" s="88"/>
      <c r="E23" s="89"/>
      <c r="F23" s="54">
        <v>0</v>
      </c>
      <c r="G23" s="28"/>
      <c r="H23" s="79" t="s">
        <v>61</v>
      </c>
      <c r="I23" s="80"/>
      <c r="J23" s="80"/>
      <c r="K23" s="81"/>
      <c r="L23" s="95">
        <v>1500</v>
      </c>
      <c r="M23" s="28"/>
      <c r="N23" s="79" t="s">
        <v>59</v>
      </c>
      <c r="O23" s="80"/>
      <c r="P23" s="80"/>
      <c r="Q23" s="81"/>
      <c r="R23" s="97">
        <v>1500</v>
      </c>
      <c r="S23" s="28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</row>
    <row r="24" spans="1:31" ht="15" hidden="1" customHeight="1" thickBot="1" x14ac:dyDescent="0.3">
      <c r="A24" s="28"/>
      <c r="B24" s="87" t="s">
        <v>45</v>
      </c>
      <c r="C24" s="88"/>
      <c r="D24" s="88"/>
      <c r="E24" s="90"/>
      <c r="F24" s="42" t="str">
        <f>IF($F$23=0,"0",IF($F$23=1,M36,IF($F$23=2,S36,"")))</f>
        <v>0</v>
      </c>
      <c r="G24" s="28"/>
      <c r="H24" s="82"/>
      <c r="I24" s="83"/>
      <c r="J24" s="83"/>
      <c r="K24" s="84"/>
      <c r="L24" s="96"/>
      <c r="M24" s="28"/>
      <c r="N24" s="82"/>
      <c r="O24" s="83"/>
      <c r="P24" s="83"/>
      <c r="Q24" s="84"/>
      <c r="R24" s="98"/>
      <c r="S24" s="28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</row>
    <row r="25" spans="1:31" ht="15.75" hidden="1" customHeight="1" thickBot="1" x14ac:dyDescent="0.3">
      <c r="A25" s="28"/>
      <c r="B25" s="87" t="s">
        <v>44</v>
      </c>
      <c r="C25" s="88"/>
      <c r="D25" s="88"/>
      <c r="E25" s="90"/>
      <c r="F25" s="42" t="str">
        <f>IF($F$23=0,"0",IF($F$23=1,M37,IF($F$23=2,S37,"")))</f>
        <v>0</v>
      </c>
      <c r="G25" s="28"/>
      <c r="H25" s="36" t="s">
        <v>62</v>
      </c>
      <c r="I25" s="37"/>
      <c r="J25" s="37"/>
      <c r="K25" s="38"/>
      <c r="L25" s="29" t="s">
        <v>52</v>
      </c>
      <c r="M25" s="28"/>
      <c r="N25" s="36" t="s">
        <v>58</v>
      </c>
      <c r="O25" s="37"/>
      <c r="P25" s="37"/>
      <c r="Q25" s="38"/>
      <c r="R25" s="50" t="s">
        <v>52</v>
      </c>
      <c r="S25" s="28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</row>
    <row r="26" spans="1:31" ht="15.75" hidden="1" customHeight="1" thickBot="1" x14ac:dyDescent="0.3">
      <c r="A26" s="28"/>
      <c r="B26" s="87" t="s">
        <v>48</v>
      </c>
      <c r="C26" s="88"/>
      <c r="D26" s="88"/>
      <c r="E26" s="90"/>
      <c r="F26" s="42" t="str">
        <f>IF($F$23=0,"0",IF($F$23=1,M40,IF($F$23=2,S40,"")))</f>
        <v>0</v>
      </c>
      <c r="G26" s="28"/>
      <c r="H26" s="36" t="s">
        <v>63</v>
      </c>
      <c r="I26" s="37"/>
      <c r="J26" s="37"/>
      <c r="K26" s="38"/>
      <c r="L26" s="29" t="s">
        <v>64</v>
      </c>
      <c r="M26" s="28"/>
      <c r="N26" s="36" t="s">
        <v>60</v>
      </c>
      <c r="O26" s="37"/>
      <c r="P26" s="37"/>
      <c r="Q26" s="38"/>
      <c r="R26" s="50" t="s">
        <v>64</v>
      </c>
      <c r="S26" s="28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</row>
    <row r="27" spans="1:31" ht="15" hidden="1" customHeight="1" x14ac:dyDescent="0.25">
      <c r="A27" s="28"/>
      <c r="B27" s="87" t="s">
        <v>53</v>
      </c>
      <c r="C27" s="88"/>
      <c r="D27" s="88"/>
      <c r="E27" s="90"/>
      <c r="F27" s="42" t="str">
        <f>IF($F$23=0,"0",IF($F$23=1,M41,IF($F$23=2,S41,"")))</f>
        <v>0</v>
      </c>
      <c r="G27" s="28"/>
      <c r="H27" s="28"/>
      <c r="I27" s="28"/>
      <c r="J27" s="28"/>
      <c r="K27" s="28"/>
      <c r="L27" s="31"/>
      <c r="M27" s="28"/>
      <c r="N27" s="28"/>
      <c r="O27" s="28"/>
      <c r="P27" s="28"/>
      <c r="Q27" s="28"/>
      <c r="R27" s="49"/>
      <c r="S27" s="28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</row>
    <row r="28" spans="1:31" ht="15.75" hidden="1" customHeight="1" x14ac:dyDescent="0.25">
      <c r="A28" s="28"/>
      <c r="B28" s="87" t="s">
        <v>54</v>
      </c>
      <c r="C28" s="88"/>
      <c r="D28" s="88"/>
      <c r="E28" s="90"/>
      <c r="F28" s="42" t="str">
        <f>IF($F$23=0,"0",IF($F$23=1,M42,IF($F$23=2,S42,"")))</f>
        <v>0</v>
      </c>
      <c r="G28" s="28"/>
      <c r="H28" s="79" t="s">
        <v>61</v>
      </c>
      <c r="I28" s="80"/>
      <c r="J28" s="80"/>
      <c r="K28" s="81"/>
      <c r="L28" s="98">
        <v>2500</v>
      </c>
      <c r="M28" s="28"/>
      <c r="N28" s="79" t="s">
        <v>57</v>
      </c>
      <c r="O28" s="80"/>
      <c r="P28" s="80"/>
      <c r="Q28" s="81"/>
      <c r="R28" s="99">
        <v>2500</v>
      </c>
      <c r="S28" s="28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</row>
    <row r="29" spans="1:31" ht="15.75" hidden="1" customHeight="1" thickBot="1" x14ac:dyDescent="0.3">
      <c r="A29" s="28"/>
      <c r="B29" s="28"/>
      <c r="C29" s="28"/>
      <c r="D29" s="28"/>
      <c r="E29" s="28"/>
      <c r="F29" s="28"/>
      <c r="G29" s="28"/>
      <c r="H29" s="82"/>
      <c r="I29" s="83"/>
      <c r="J29" s="83"/>
      <c r="K29" s="84"/>
      <c r="L29" s="96"/>
      <c r="M29" s="28"/>
      <c r="N29" s="82"/>
      <c r="O29" s="83"/>
      <c r="P29" s="83"/>
      <c r="Q29" s="84"/>
      <c r="R29" s="100"/>
      <c r="S29" s="28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</row>
    <row r="30" spans="1:31" ht="15.75" hidden="1" customHeight="1" thickBot="1" x14ac:dyDescent="0.3">
      <c r="A30" s="28"/>
      <c r="B30" s="28"/>
      <c r="C30" s="28"/>
      <c r="D30" s="28"/>
      <c r="E30" s="28"/>
      <c r="F30" s="28"/>
      <c r="G30" s="28"/>
      <c r="H30" s="36" t="s">
        <v>62</v>
      </c>
      <c r="I30" s="37"/>
      <c r="J30" s="37"/>
      <c r="K30" s="38"/>
      <c r="L30" s="29" t="s">
        <v>52</v>
      </c>
      <c r="M30" s="28"/>
      <c r="N30" s="36" t="s">
        <v>58</v>
      </c>
      <c r="O30" s="37"/>
      <c r="P30" s="37"/>
      <c r="Q30" s="38"/>
      <c r="R30" s="50" t="s">
        <v>52</v>
      </c>
      <c r="S30" s="28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</row>
    <row r="31" spans="1:31" ht="15.75" hidden="1" customHeight="1" thickBot="1" x14ac:dyDescent="0.3">
      <c r="A31" s="28"/>
      <c r="B31" s="28"/>
      <c r="C31" s="28"/>
      <c r="D31" s="28"/>
      <c r="E31" s="28"/>
      <c r="F31" s="28"/>
      <c r="G31" s="28"/>
      <c r="H31" s="36" t="s">
        <v>63</v>
      </c>
      <c r="I31" s="37"/>
      <c r="J31" s="37"/>
      <c r="K31" s="38"/>
      <c r="L31" s="29" t="s">
        <v>64</v>
      </c>
      <c r="M31" s="28"/>
      <c r="N31" s="36" t="s">
        <v>60</v>
      </c>
      <c r="O31" s="37"/>
      <c r="P31" s="37"/>
      <c r="Q31" s="38"/>
      <c r="R31" s="50" t="s">
        <v>64</v>
      </c>
      <c r="S31" s="28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</row>
    <row r="32" spans="1:3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49"/>
      <c r="S32" s="28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</row>
    <row r="33" spans="1:31" s="4" customFormat="1" ht="20.25" customHeight="1" thickBot="1" x14ac:dyDescent="0.3">
      <c r="A33" s="91" t="s">
        <v>13</v>
      </c>
      <c r="B33" s="91"/>
      <c r="C33" s="91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49"/>
      <c r="S33" s="28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</row>
    <row r="34" spans="1:31" ht="15.75" hidden="1" thickBot="1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59"/>
      <c r="P34" s="60"/>
      <c r="Q34" s="60"/>
      <c r="R34" s="61"/>
      <c r="S34" s="62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</row>
    <row r="35" spans="1:31" ht="15.75" thickBot="1" x14ac:dyDescent="0.3">
      <c r="A35" s="28"/>
      <c r="B35" s="40" t="s">
        <v>26</v>
      </c>
      <c r="C35" s="40"/>
      <c r="D35" s="41"/>
      <c r="E35" s="43">
        <f>IF($E$3=$A$206,$A$207,IF($E$3=$C$206,$C$207,IF($E$3=$E$206,$E$207,IF($E$3=$G$206,$G$207,IF($E$3=$I$206,$I$207,IF($E$3=$K$206,$K$207,IF($E$3=$M$206,$M$207,IF($E$3=$O$206,$O$207,IF($E$3=$Q$206,$Q$207,IF($E$3=$S$206,$S$207,IF($E$3=$U$206,$U$207,IF($E$3=$W$206,$W$207,IF($E$3=$Y$206,$Y$207)))))))))))))</f>
        <v>1</v>
      </c>
      <c r="F35" s="28"/>
      <c r="G35" s="28"/>
      <c r="H35" s="28"/>
      <c r="I35" s="39" t="s">
        <v>33</v>
      </c>
      <c r="J35" s="40"/>
      <c r="K35" s="40"/>
      <c r="L35" s="41"/>
      <c r="M35" s="42">
        <v>1</v>
      </c>
      <c r="N35" s="28"/>
      <c r="O35" s="101" t="s">
        <v>257</v>
      </c>
      <c r="P35" s="102"/>
      <c r="Q35" s="102"/>
      <c r="R35" s="102"/>
      <c r="S35" s="103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</row>
    <row r="36" spans="1:31" x14ac:dyDescent="0.25">
      <c r="A36" s="28"/>
      <c r="B36" s="40" t="s">
        <v>14</v>
      </c>
      <c r="C36" s="40"/>
      <c r="D36" s="41"/>
      <c r="E36" s="43">
        <f>IF($E$3=$A$206,$A$208,IF($E$3=$C$206,$C$208,IF($E$3=$E$206,$E$208,IF($E$3=$G$206,$G$208,IF($E$3=$I$206,$I$208,IF($E$3=$K$206,$K$208,IF($E$3=$M$206,$M$208,IF($E$3=$O$206,$O$208,IF($E$3=$Q$206,$Q$208,IF($E$3=$S$206,$S$208,IF($E$3=$U$206,$U$208,IF($E$3=$W$206,$W$208,IF($E$3=$Y$206,$Y$208)))))))))))))</f>
        <v>400</v>
      </c>
      <c r="F36" s="28"/>
      <c r="G36" s="28"/>
      <c r="H36" s="28"/>
      <c r="I36" s="39" t="s">
        <v>35</v>
      </c>
      <c r="J36" s="40"/>
      <c r="K36" s="40"/>
      <c r="L36" s="41"/>
      <c r="M36" s="42">
        <f>IF($E$3=$A$206,$A$217,IF($E$3=$C$206,$C$217,IF($E$3=$E$206,$E$217,IF($E$3=$G$206,$G$217,IF($E$3=$I$206,$I$217,IF($E$3=$K$206,$K$217,IF($E$3=$M$206,$M$217,IF($E$3=$O$206,$O$217,IF($E$3=$Q$206,$Q$217,IF($E$3=$S$206,$S$217,IF($E$3=$U$206,$U$217,IF($E$3=$W$206,$W$217,IF($E$3=$Y$206,$Y$217)))))))))))))</f>
        <v>1500</v>
      </c>
      <c r="N36" s="28"/>
      <c r="O36" s="56" t="s">
        <v>35</v>
      </c>
      <c r="P36" s="45"/>
      <c r="Q36" s="45"/>
      <c r="R36" s="57"/>
      <c r="S36" s="58">
        <f>IF($E$3=$A$206,$A$217,IF($E$3=$C$206,$C$217,IF($E$3=$E$206,$E$217,IF($E$3=$G$206,$G$217,IF($E$3=$I$206,$I$217,IF($E$3=$K$206,$K$217,IF($E$3=$M$206,$M$217,IF($E$3=$O$206,$O$217,IF($E$3=$Q$206,$Q$217,IF($E$3=$S$206,$S$217,IF($E$3=$U$206,$U$217,IF($E$3=$W$206,$W$217,IF($E$3=$Y$206,$Y$217)))))))))))))</f>
        <v>1500</v>
      </c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</row>
    <row r="37" spans="1:31" x14ac:dyDescent="0.25">
      <c r="A37" s="28"/>
      <c r="B37" s="40" t="s">
        <v>15</v>
      </c>
      <c r="C37" s="40"/>
      <c r="D37" s="41"/>
      <c r="E37" s="42">
        <f>IF($E$3=$A$206,$A$209,IF($E$3=$C$206,$C$209,IF($E$3=$E$206,$E$209,IF($E$3=$G$206,$G$209,IF($E$3=$I$206,$I$209,IF($E$3=$K$206,$K$209,IF($E$3=$M$206,$M$209,IF($E$3=$O$206,$O$209,IF($E$3=$Q$206,$Q$209,IF($E$3=$S$206,$S$209,IF($E$3=$U$206,$U$209,IF($E$3=$W$206,$W$209,IF($E$3=$Y$206,$Y$209)))))))))))))</f>
        <v>400</v>
      </c>
      <c r="F37" s="28"/>
      <c r="G37" s="28"/>
      <c r="H37" s="28"/>
      <c r="I37" s="39" t="s">
        <v>34</v>
      </c>
      <c r="J37" s="40"/>
      <c r="K37" s="40"/>
      <c r="L37" s="41"/>
      <c r="M37" s="42">
        <f>IF($E$3=$A$206,$A$218,IF($E$3=$C$206,$C$218,IF($E$3=$E$206,$E$218,IF($E$3=$G$206,$G$218,IF($E$3=$I$206,$I$218,IF($E$3=$K$206,$K$218,IF($E$3=$M$206,$M$218,IF($E$3=$O$206,$O$218,IF($E$3=$Q$206,$Q$218,IF($E$3=$S$206,$S$218,IF($E$3=$U$206,$U$218,IF($E$3=$W$206,$W$218,IF($E$3=$Y$206,$Y$218)))))))))))))</f>
        <v>3500</v>
      </c>
      <c r="N37" s="28"/>
      <c r="O37" s="39" t="s">
        <v>34</v>
      </c>
      <c r="P37" s="40"/>
      <c r="Q37" s="40"/>
      <c r="R37" s="41"/>
      <c r="S37" s="42">
        <f>IF($E$3=$A$206,$A$218,IF($E$3=$C$206,$C$218,IF($E$3=$E$206,$E$218,IF($E$3=$G$206,$G$218,IF($E$3=$I$206,$I$218,IF($E$3=$K$206,$K$218,IF($E$3=$M$206,$M$218,IF($E$3=$O$206,$O$218,IF($E$3=$Q$206,$Q$218,IF($E$3=$S$206,$S$218,IF($E$3=$U$206,$U$218,IF($E$3=$W$206,$W$218,IF($E$3=$Y$206,$Y$218)))))))))))))</f>
        <v>3500</v>
      </c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</row>
    <row r="38" spans="1:31" x14ac:dyDescent="0.25">
      <c r="A38" s="28"/>
      <c r="B38" s="40" t="s">
        <v>23</v>
      </c>
      <c r="C38" s="40"/>
      <c r="D38" s="41"/>
      <c r="E38" s="42">
        <f>IF($E$3=$A$206,$A$210,IF($E$3=$C$206,$C$210,IF($E$3=$E$206,$E$210,IF($E$3=$G$206,$G$210,IF($E$3=$I$206,$I$210,IF($E$3=$K$206,$K$210,IF($E$3=$M$206,$M$210,IF($E$3=$O$206,$O$210,IF($E$3=$Q$206,$Q$210,IF($E$3=$S$206,$S$210,IF($E$3=$U$206,$U$210,IF($E$3=$W$206,$W$210,IF($E$3=$Y$206,$Y$210)))))))))))))</f>
        <v>6000</v>
      </c>
      <c r="F38" s="28"/>
      <c r="G38" s="28"/>
      <c r="H38" s="28"/>
      <c r="I38" s="39" t="s">
        <v>36</v>
      </c>
      <c r="J38" s="40"/>
      <c r="K38" s="40"/>
      <c r="L38" s="41"/>
      <c r="M38" s="42">
        <f>IF($E$3=$A$206,$A$219,IF($E$3=$C$206,$C$219,IF($E$3=$E$206,$E$219,IF($E$3=$G$206,$G$219,IF($E$3=$I$206,$I$219,IF($E$3=$K$206,$K$219,IF($E$3=$M$206,$M$219,IF($E$3=$O$206,$O$219,IF($E$3=$Q$206,$Q$219,IF($E$3=$S$206,$S$219,IF($E$3=$U$206,$U$219,IF($E$3=$W$206,$W$219,IF($E$3=$Y$206,$Y$219)))))))))))))</f>
        <v>300</v>
      </c>
      <c r="N38" s="28"/>
      <c r="O38" s="39" t="s">
        <v>36</v>
      </c>
      <c r="P38" s="40"/>
      <c r="Q38" s="40"/>
      <c r="R38" s="41"/>
      <c r="S38" s="42">
        <f>IF($E$3=$A$206,$A$219,IF($E$3=$C$206,$C$219,IF($E$3=$E$206,$E$219,IF($E$3=$G$206,$G$219,IF($E$3=$I$206,$I$219,IF($E$3=$K$206,$K$219,IF($E$3=$M$206,$M$219,IF($E$3=$O$206,$O$219,IF($E$3=$Q$206,$Q$219,IF($E$3=$S$206,$S$219,IF($E$3=$U$206,$U$219,IF($E$3=$W$206,$W$219,IF($E$3=$Y$206,$Y$219)))))))))))))</f>
        <v>300</v>
      </c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</row>
    <row r="39" spans="1:31" x14ac:dyDescent="0.25">
      <c r="A39" s="28"/>
      <c r="B39" s="40" t="s">
        <v>27</v>
      </c>
      <c r="C39" s="40"/>
      <c r="D39" s="41"/>
      <c r="E39" s="42">
        <f>IF($E$3=$A$206,$A$211,IF($E$3=$C$206,$C$211,IF($E$3=$E$206,$E$211,IF($E$3=$G$206,$G$211,IF($E$3=$I$206,$I$211,IF($E$3=$K$206,$K$211,IF($E$3=$M$206,$M$211,IF($E$3=$O$206,$O$211,IF($E$3=$Q$206,$Q$211,IF($E$3=$S$206,$S$211,IF($E$3=$U$206,$U$211,IF($E$3=$W$206,$W$211,IF($E$3=$Y$206,$Y$211)))))))))))))</f>
        <v>3000</v>
      </c>
      <c r="F39" s="28"/>
      <c r="G39" s="28"/>
      <c r="H39" s="28"/>
      <c r="I39" s="39" t="s">
        <v>37</v>
      </c>
      <c r="J39" s="40"/>
      <c r="K39" s="40"/>
      <c r="L39" s="41"/>
      <c r="M39" s="42">
        <f>IF($E$3=$A$206,$A$220,IF($E$3=$C$206,$C$220,IF($E$3=$E$206,$E$220,IF($E$3=$G$206,$G$220,IF($E$3=$I$206,$I$220,IF($E$3=$K$206,$K$220,IF($E$3=$M$206,$M$220,IF($E$3=$O$206,$O$220,IF($E$3=$Q$206,$Q$220,IF($E$3=$S$206,$S$220,IF($E$3=$U$206,$U$220,IF($E$3=$W$206,$W$220,IF($E$3=$Y$206,$Y$220)))))))))))))</f>
        <v>300</v>
      </c>
      <c r="N39" s="28"/>
      <c r="O39" s="39" t="s">
        <v>37</v>
      </c>
      <c r="P39" s="40"/>
      <c r="Q39" s="40"/>
      <c r="R39" s="41"/>
      <c r="S39" s="42">
        <f>IF($E$3=$A$206,$A$220,IF($E$3=$C$206,$C$220,IF($E$3=$E$206,$E$220,IF($E$3=$G$206,$G$220,IF($E$3=$I$206,$I$220,IF($E$3=$K$206,$K$220,IF($E$3=$M$206,$M$220,IF($E$3=$O$206,$O$220,IF($E$3=$Q$206,$Q$220,IF($E$3=$S$206,$S$220,IF($E$3=$U$206,$U$220,IF($E$3=$W$206,$W$220,IF($E$3=$Y$206,$Y$220)))))))))))))</f>
        <v>300</v>
      </c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</row>
    <row r="40" spans="1:31" x14ac:dyDescent="0.25">
      <c r="A40" s="28"/>
      <c r="B40" s="40" t="s">
        <v>24</v>
      </c>
      <c r="C40" s="40"/>
      <c r="D40" s="41"/>
      <c r="E40" s="42">
        <f>IF($E$3=$A$206,$A$212,IF($E$3=$C$206,$C$212,IF($E$3=$E$206,$E$212,IF($E$3=$G$206,$G$212,IF($E$3=$I$206,$I$212,IF($E$3=$K$206,$K$212,IF($E$3=$M$206,$M$212,IF($E$3=$O$206,$O$212,IF($E$3=$Q$206,$Q$212,IF($E$3=$S$206,$S$212,IF($E$3=$U$206,$U$212,IF($E$3=$W$206,$W$212,IF($E$3=$Y$206,$Y$212)))))))))))))</f>
        <v>3000</v>
      </c>
      <c r="F40" s="28"/>
      <c r="G40" s="28"/>
      <c r="H40" s="28"/>
      <c r="I40" s="39" t="s">
        <v>38</v>
      </c>
      <c r="J40" s="40"/>
      <c r="K40" s="40"/>
      <c r="L40" s="41"/>
      <c r="M40" s="42">
        <f>IF($E$3=$A$206,$A$221,IF($E$3=$C$206,$C$221,IF($E$3=$E$206,$E$221,IF($E$3=$G$206,$G$221,IF($E$3=$I$206,$I$221,IF($E$3=$K$206,$K$221,IF($E$3=$M$206,$M$221,IF($E$3=$O$206,$O$221,IF($E$3=$Q$206,$Q$221,IF($E$3=$S$206,$S$221,IF($E$3=$U$206,$U$221,IF($E$3=$W$206,$W$221,IF($E$3=$Y$206,$Y$221)))))))))))))</f>
        <v>120</v>
      </c>
      <c r="N40" s="28"/>
      <c r="O40" s="39" t="s">
        <v>38</v>
      </c>
      <c r="P40" s="40"/>
      <c r="Q40" s="40"/>
      <c r="R40" s="41"/>
      <c r="S40" s="42">
        <f>IF($E$3=$A$206,$A$221,IF($E$3=$C$206,$C$221,IF($E$3=$E$206,$E$221,IF($E$3=$G$206,$G$221,IF($E$3=$I$206,$I$221,IF($E$3=$K$206,$K$221,IF($E$3=$M$206,$M$221,IF($E$3=$O$206,$O$221,IF($E$3=$Q$206,$Q$221,IF($E$3=$S$206,$S$221,IF($E$3=$U$206,$U$221,IF($E$3=$W$206,$W$221,IF($E$3=$Y$206,$Y$221)))))))))))))</f>
        <v>120</v>
      </c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</row>
    <row r="41" spans="1:31" x14ac:dyDescent="0.25">
      <c r="A41" s="28"/>
      <c r="B41" s="40" t="s">
        <v>25</v>
      </c>
      <c r="C41" s="40"/>
      <c r="D41" s="41"/>
      <c r="E41" s="42">
        <f>IF($E$3=$A$206,$A$213,IF($E$3=$C$206,$C$213,IF($E$3=$E$206,$E$213,IF($E$3=$G$206,$G$213,IF($E$3=$I$206,$I$213,IF($E$3=$K$206,$K$213,IF($E$3=$M$206,$M$213,IF($E$3=$O$206,$O$213,IF($E$3=$Q$206,$Q$213,IF($E$3=$S$206,$S$213,IF($E$3=$U$206,$U$213,IF($E$3=$W$206,$W$213,IF($E$3=$Y$206,$Y$213)))))))))))))</f>
        <v>0</v>
      </c>
      <c r="F41" s="28"/>
      <c r="G41" s="28"/>
      <c r="H41" s="28"/>
      <c r="I41" s="39" t="s">
        <v>39</v>
      </c>
      <c r="J41" s="40"/>
      <c r="K41" s="40"/>
      <c r="L41" s="41"/>
      <c r="M41" s="42" t="str">
        <f>IF($E$3=$A$206,$A$222,IF($E$3=$C$206,$C$222,IF($E$3=$E$206,$E$222,IF($E$3=$G$206,$G$222,IF($E$3=$I$206,$I$222,IF($E$3=$K$206,$K$222,IF($E$3=$M$206,$M$222,IF($E$3=$O$206,$O$222,IF($E$3=$Q$206,$Q$222,IF($E$3=$S$206,$S$222,IF($E$3=$U$206,$U$222,IF($E$3=$W$206,$W$222,IF($E$3=$Y$206,$Y$222)))))))))))))</f>
        <v>P</v>
      </c>
      <c r="N41" s="28"/>
      <c r="O41" s="39" t="s">
        <v>39</v>
      </c>
      <c r="P41" s="40"/>
      <c r="Q41" s="40"/>
      <c r="R41" s="41"/>
      <c r="S41" s="42" t="str">
        <f>IF($E$3=$A$206,$A$222,IF($E$3=$C$206,$C$222,IF($E$3=$E$206,$E$222,IF($E$3=$G$206,$G$222,IF($E$3=$I$206,$I$222,IF($E$3=$K$206,$K$222,IF($E$3=$M$206,$M$222,IF($E$3=$O$206,$O$222,IF($E$3=$Q$206,$Q$222,IF($E$3=$S$206,$S$222,IF($E$3=$U$206,$U$222,IF($E$3=$W$206,$W$222,IF($E$3=$Y$206,$Y$222)))))))))))))</f>
        <v>P</v>
      </c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</row>
    <row r="42" spans="1:31" x14ac:dyDescent="0.25">
      <c r="A42" s="28"/>
      <c r="B42" s="28"/>
      <c r="C42" s="28"/>
      <c r="D42" s="28"/>
      <c r="E42" s="44" t="s">
        <v>32</v>
      </c>
      <c r="F42" s="5" t="s">
        <v>31</v>
      </c>
      <c r="G42" s="28"/>
      <c r="H42" s="28"/>
      <c r="I42" s="39" t="s">
        <v>40</v>
      </c>
      <c r="J42" s="40"/>
      <c r="K42" s="40"/>
      <c r="L42" s="41"/>
      <c r="M42" s="42" t="str">
        <f>IF($E$3=$A$206,$A$223,IF($E$3=$C$206,$C$223,IF($E$3=$E$206,$E$223,IF($E$3=$G$206,$G$223,IF($E$3=$I$206,$I$223,IF($E$3=$K$206,$K$223,IF($E$3=$M$206,$M$223,IF($E$3=$O$206,$O$223,IF($E$3=$Q$206,$Q$223,IF($E$3=$S$206,$S$223,IF($E$3=$U$206,$U$223,IF($E$3=$W$206,$W$223,IF($E$3=$Y$206,$Y$223)))))))))))))</f>
        <v>48.3x3.2</v>
      </c>
      <c r="N42" s="28"/>
      <c r="O42" s="39" t="s">
        <v>40</v>
      </c>
      <c r="P42" s="40"/>
      <c r="Q42" s="40"/>
      <c r="R42" s="41"/>
      <c r="S42" s="42" t="str">
        <f>IF($E$3=$A$206,$A$223,IF($E$3=$C$206,$C$223,IF($E$3=$E$206,$E$223,IF($E$3=$G$206,$G$223,IF($E$3=$I$206,$I$223,IF($E$3=$K$206,$K$223,IF($E$3=$M$206,$M$223,IF($E$3=$O$206,$O$223,IF($E$3=$Q$206,$Q$223,IF($E$3=$S$206,$S$223,IF($E$3=$U$206,$U$223,IF($E$3=$W$206,$W$223,IF($E$3=$Y$206,$Y$223)))))))))))))</f>
        <v>48.3x3.2</v>
      </c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</row>
    <row r="43" spans="1:31" x14ac:dyDescent="0.25">
      <c r="A43" s="28"/>
      <c r="B43" s="40" t="s">
        <v>28</v>
      </c>
      <c r="C43" s="40"/>
      <c r="D43" s="41"/>
      <c r="E43" s="42">
        <f>IF($E$3=$A$206,$A$214,IF($E$3=$C$206,$C$214,IF($E$3=$E$206,$E$214,IF($E$3=$G$206,$G$214,IF($E$3=$I$206,$I$214,IF($E$3=$K$206,$K$214,IF($E$3=$M$206,$M$214,IF($E$3=$O$206,$O$214,IF($E$3=$Q$206,$Q$214,IF($E$3=$S$206,$S$214,IF($E$3=$U$206,$U$214,IF($E$3=$W$206,$W$214,IF($E$3=$Y$206,$Y$214)))))))))))))</f>
        <v>88.9</v>
      </c>
      <c r="F43" s="35">
        <v>3.6</v>
      </c>
      <c r="G43" s="28"/>
      <c r="H43" s="28"/>
      <c r="I43" s="39" t="s">
        <v>42</v>
      </c>
      <c r="J43" s="40"/>
      <c r="K43" s="40"/>
      <c r="L43" s="41"/>
      <c r="M43" s="42">
        <v>0</v>
      </c>
      <c r="N43" s="28"/>
      <c r="O43" s="39" t="s">
        <v>42</v>
      </c>
      <c r="P43" s="40"/>
      <c r="Q43" s="40"/>
      <c r="R43" s="41"/>
      <c r="S43" s="42">
        <v>0</v>
      </c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</row>
    <row r="44" spans="1:31" x14ac:dyDescent="0.25">
      <c r="A44" s="28"/>
      <c r="B44" s="40" t="s">
        <v>29</v>
      </c>
      <c r="C44" s="40"/>
      <c r="D44" s="41"/>
      <c r="E44" s="42">
        <f>IF($E$3=$A$206,$A$215,IF($E$3=$C$206,$C$215,IF($E$3=$E$206,$E$215,IF($E$3=$G$206,$G$215,IF($E$3=$I$206,$I$215,IF($E$3=$K$206,$K$215,IF($E$3=$M$206,$M$215,IF($E$3=$O$206,$O$215,IF($E$3=$Q$206,$Q$215,IF($E$3=$S$206,$S$215,IF($E$3=$U$206,$U$215,IF($E$3=$W$206,$W$215,IF($E$3=$Y$206,$Y$215)))))))))))))</f>
        <v>88.9</v>
      </c>
      <c r="F44" s="35">
        <v>3.2</v>
      </c>
      <c r="G44" s="28"/>
      <c r="H44" s="28"/>
      <c r="I44" s="39" t="s">
        <v>41</v>
      </c>
      <c r="J44" s="40"/>
      <c r="K44" s="40"/>
      <c r="L44" s="41"/>
      <c r="M44" s="42">
        <v>0</v>
      </c>
      <c r="N44" s="28"/>
      <c r="O44" s="39" t="s">
        <v>41</v>
      </c>
      <c r="P44" s="40"/>
      <c r="Q44" s="40"/>
      <c r="R44" s="41"/>
      <c r="S44" s="42">
        <v>0</v>
      </c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</row>
    <row r="45" spans="1:31" x14ac:dyDescent="0.25">
      <c r="A45" s="28"/>
      <c r="B45" s="40" t="s">
        <v>30</v>
      </c>
      <c r="C45" s="40"/>
      <c r="D45" s="41"/>
      <c r="E45" s="42">
        <f>IF($E$3=$A$206,$A$216,IF($E$3=$C$206,$C$216,IF($E$3=$E$206,$E$216,IF($E$3=$G$206,$G$216,IF($E$3=$I$206,$I$216,IF($E$3=$K$206,$K$216,IF($E$3=$M$206,$M$216,IF($E$3=$O$206,$O$216,IF($E$3=$Q$206,$Q$216,IF($E$3=$S$206,$S$216,IF($E$3=$U$206,$U$216,IF($E$3=$W$206,$W$216,IF($E$3=$Y$206,$Y$216)))))))))))))</f>
        <v>0</v>
      </c>
      <c r="F45" s="35">
        <v>3.2</v>
      </c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49"/>
      <c r="S45" s="28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</row>
    <row r="46" spans="1:3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49"/>
      <c r="S46" s="28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</row>
    <row r="47" spans="1:3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49"/>
      <c r="S47" s="28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</row>
    <row r="48" spans="1:3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49"/>
      <c r="S48" s="28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</row>
    <row r="49" spans="1:36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49"/>
      <c r="S49" s="28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</row>
    <row r="54" spans="1:36" x14ac:dyDescent="0.25">
      <c r="F54" s="1"/>
    </row>
    <row r="57" spans="1:36" ht="15.75" thickBot="1" x14ac:dyDescent="0.3">
      <c r="A57" s="64" t="s">
        <v>96</v>
      </c>
      <c r="B57" s="3" t="s">
        <v>101</v>
      </c>
      <c r="C57" s="3" t="s">
        <v>102</v>
      </c>
      <c r="G57" s="3" t="s">
        <v>97</v>
      </c>
      <c r="H57" s="3" t="s">
        <v>103</v>
      </c>
      <c r="I57" s="3" t="s">
        <v>102</v>
      </c>
      <c r="M57" s="3" t="s">
        <v>98</v>
      </c>
      <c r="N57" s="3" t="s">
        <v>103</v>
      </c>
      <c r="O57" s="3" t="s">
        <v>104</v>
      </c>
      <c r="S57" s="3" t="s">
        <v>99</v>
      </c>
      <c r="T57" s="3" t="s">
        <v>105</v>
      </c>
      <c r="U57" s="3" t="s">
        <v>102</v>
      </c>
      <c r="Y57" s="3" t="s">
        <v>100</v>
      </c>
      <c r="Z57" s="3" t="s">
        <v>105</v>
      </c>
      <c r="AA57" s="3" t="s">
        <v>106</v>
      </c>
      <c r="AE57" s="55" t="s">
        <v>255</v>
      </c>
      <c r="AF57" s="55" t="s">
        <v>105</v>
      </c>
      <c r="AG57" s="55" t="s">
        <v>106</v>
      </c>
    </row>
    <row r="58" spans="1:36" x14ac:dyDescent="0.25">
      <c r="A58" s="92" t="s">
        <v>96</v>
      </c>
      <c r="B58" s="93"/>
      <c r="C58" s="93"/>
      <c r="D58" s="93"/>
      <c r="E58" s="93"/>
      <c r="F58" s="94"/>
      <c r="G58" s="92" t="s">
        <v>97</v>
      </c>
      <c r="H58" s="93"/>
      <c r="I58" s="93"/>
      <c r="J58" s="93"/>
      <c r="K58" s="93"/>
      <c r="L58" s="93"/>
      <c r="M58" s="92" t="s">
        <v>98</v>
      </c>
      <c r="N58" s="93"/>
      <c r="O58" s="93"/>
      <c r="P58" s="93"/>
      <c r="Q58" s="93"/>
      <c r="R58" s="93"/>
      <c r="S58" s="92" t="s">
        <v>99</v>
      </c>
      <c r="T58" s="93"/>
      <c r="U58" s="93"/>
      <c r="V58" s="93"/>
      <c r="W58" s="93"/>
      <c r="X58" s="93"/>
      <c r="Y58" s="92" t="s">
        <v>100</v>
      </c>
      <c r="Z58" s="93"/>
      <c r="AA58" s="93"/>
      <c r="AB58" s="93"/>
      <c r="AC58" s="93"/>
      <c r="AD58" s="94"/>
      <c r="AE58" s="92" t="s">
        <v>255</v>
      </c>
      <c r="AF58" s="93"/>
      <c r="AG58" s="93"/>
      <c r="AH58" s="93"/>
      <c r="AI58" s="93"/>
      <c r="AJ58" s="94"/>
    </row>
    <row r="59" spans="1:36" s="8" customFormat="1" x14ac:dyDescent="0.25">
      <c r="A59" s="9" t="s">
        <v>93</v>
      </c>
      <c r="B59" s="9"/>
      <c r="C59" s="9" t="s">
        <v>94</v>
      </c>
      <c r="D59" s="9"/>
      <c r="E59" s="9" t="s">
        <v>95</v>
      </c>
      <c r="F59" s="14"/>
      <c r="G59" s="13" t="s">
        <v>93</v>
      </c>
      <c r="H59" s="9"/>
      <c r="I59" s="9" t="s">
        <v>94</v>
      </c>
      <c r="J59" s="9"/>
      <c r="K59" s="9" t="s">
        <v>95</v>
      </c>
      <c r="L59" s="9"/>
      <c r="M59" s="13" t="s">
        <v>93</v>
      </c>
      <c r="N59" s="9"/>
      <c r="O59" s="9" t="s">
        <v>94</v>
      </c>
      <c r="P59" s="9"/>
      <c r="Q59" s="9" t="s">
        <v>95</v>
      </c>
      <c r="R59" s="51"/>
      <c r="S59" s="13" t="s">
        <v>93</v>
      </c>
      <c r="T59" s="9"/>
      <c r="U59" s="9" t="s">
        <v>94</v>
      </c>
      <c r="V59" s="9"/>
      <c r="W59" s="9" t="s">
        <v>95</v>
      </c>
      <c r="X59" s="9"/>
      <c r="Y59" s="13" t="s">
        <v>93</v>
      </c>
      <c r="Z59" s="9"/>
      <c r="AA59" s="9" t="s">
        <v>94</v>
      </c>
      <c r="AB59" s="9"/>
      <c r="AC59" s="9" t="s">
        <v>95</v>
      </c>
      <c r="AD59" s="14"/>
      <c r="AE59" s="13" t="s">
        <v>93</v>
      </c>
      <c r="AF59" s="9"/>
      <c r="AG59" s="9" t="s">
        <v>94</v>
      </c>
      <c r="AH59" s="9"/>
      <c r="AI59" s="9" t="s">
        <v>95</v>
      </c>
      <c r="AJ59" s="14"/>
    </row>
    <row r="60" spans="1:36" x14ac:dyDescent="0.25">
      <c r="A60" s="10" t="s">
        <v>86</v>
      </c>
      <c r="B60" s="7"/>
      <c r="C60" s="15" t="s">
        <v>86</v>
      </c>
      <c r="D60" s="6"/>
      <c r="E60" s="15" t="s">
        <v>86</v>
      </c>
      <c r="F60" s="16"/>
      <c r="G60" s="15" t="s">
        <v>86</v>
      </c>
      <c r="H60" s="7"/>
      <c r="I60" s="15" t="s">
        <v>86</v>
      </c>
      <c r="J60" s="7"/>
      <c r="K60" s="15" t="s">
        <v>86</v>
      </c>
      <c r="L60" s="7"/>
      <c r="M60" s="15" t="s">
        <v>86</v>
      </c>
      <c r="N60" s="7"/>
      <c r="O60" s="15" t="s">
        <v>86</v>
      </c>
      <c r="P60" s="7"/>
      <c r="Q60" s="15" t="s">
        <v>86</v>
      </c>
      <c r="R60" s="52"/>
      <c r="S60" s="15" t="s">
        <v>86</v>
      </c>
      <c r="T60" s="7"/>
      <c r="U60" s="15" t="s">
        <v>86</v>
      </c>
      <c r="V60" s="7"/>
      <c r="W60" s="15" t="s">
        <v>86</v>
      </c>
      <c r="X60" s="7"/>
      <c r="Y60" s="15" t="s">
        <v>86</v>
      </c>
      <c r="Z60" s="7"/>
      <c r="AA60" s="15" t="s">
        <v>86</v>
      </c>
      <c r="AB60" s="7"/>
      <c r="AC60" s="15" t="s">
        <v>86</v>
      </c>
      <c r="AD60" s="16"/>
      <c r="AE60" s="15" t="s">
        <v>86</v>
      </c>
      <c r="AF60" s="7"/>
      <c r="AG60" s="15" t="s">
        <v>86</v>
      </c>
      <c r="AH60" s="7"/>
      <c r="AI60" s="15" t="s">
        <v>86</v>
      </c>
      <c r="AJ60" s="16"/>
    </row>
    <row r="61" spans="1:36" x14ac:dyDescent="0.25">
      <c r="A61" s="10" t="s">
        <v>16</v>
      </c>
      <c r="B61" s="7"/>
      <c r="C61" s="15" t="s">
        <v>16</v>
      </c>
      <c r="D61" s="6"/>
      <c r="E61" s="15" t="s">
        <v>16</v>
      </c>
      <c r="F61" s="16"/>
      <c r="G61" s="15" t="s">
        <v>16</v>
      </c>
      <c r="H61" s="7"/>
      <c r="I61" s="15" t="s">
        <v>16</v>
      </c>
      <c r="J61" s="7"/>
      <c r="K61" s="15" t="s">
        <v>16</v>
      </c>
      <c r="L61" s="7"/>
      <c r="M61" s="15" t="s">
        <v>16</v>
      </c>
      <c r="N61" s="7"/>
      <c r="O61" s="15" t="s">
        <v>16</v>
      </c>
      <c r="P61" s="7"/>
      <c r="Q61" s="15" t="s">
        <v>16</v>
      </c>
      <c r="R61" s="52"/>
      <c r="S61" s="15" t="s">
        <v>16</v>
      </c>
      <c r="T61" s="7"/>
      <c r="U61" s="15" t="s">
        <v>16</v>
      </c>
      <c r="V61" s="7"/>
      <c r="W61" s="15" t="s">
        <v>16</v>
      </c>
      <c r="X61" s="7"/>
      <c r="Y61" s="15" t="s">
        <v>16</v>
      </c>
      <c r="Z61" s="7"/>
      <c r="AA61" s="15" t="s">
        <v>16</v>
      </c>
      <c r="AB61" s="7"/>
      <c r="AC61" s="15" t="s">
        <v>16</v>
      </c>
      <c r="AD61" s="16"/>
      <c r="AE61" s="15" t="s">
        <v>16</v>
      </c>
      <c r="AF61" s="7"/>
      <c r="AG61" s="15" t="s">
        <v>16</v>
      </c>
      <c r="AH61" s="7"/>
      <c r="AI61" s="15" t="s">
        <v>16</v>
      </c>
      <c r="AJ61" s="16"/>
    </row>
    <row r="62" spans="1:36" x14ac:dyDescent="0.25">
      <c r="A62" s="10" t="str">
        <f>$E$3</f>
        <v>IN-6.0m-RIT-120-CNTR-MP</v>
      </c>
      <c r="B62" s="7"/>
      <c r="C62" s="10" t="str">
        <f>$E$3</f>
        <v>IN-6.0m-RIT-120-CNTR-MP</v>
      </c>
      <c r="D62" s="6"/>
      <c r="E62" s="10" t="str">
        <f>$E$3</f>
        <v>IN-6.0m-RIT-120-CNTR-MP</v>
      </c>
      <c r="F62" s="16"/>
      <c r="G62" s="15" t="str">
        <f>$E$3</f>
        <v>IN-6.0m-RIT-120-CNTR-MP</v>
      </c>
      <c r="H62" s="7"/>
      <c r="I62" s="10" t="str">
        <f>$E$3</f>
        <v>IN-6.0m-RIT-120-CNTR-MP</v>
      </c>
      <c r="J62" s="7"/>
      <c r="K62" s="10" t="str">
        <f>$E$3</f>
        <v>IN-6.0m-RIT-120-CNTR-MP</v>
      </c>
      <c r="L62" s="7"/>
      <c r="M62" s="15" t="str">
        <f>$E$3</f>
        <v>IN-6.0m-RIT-120-CNTR-MP</v>
      </c>
      <c r="N62" s="7"/>
      <c r="O62" s="10" t="str">
        <f>$E$3</f>
        <v>IN-6.0m-RIT-120-CNTR-MP</v>
      </c>
      <c r="P62" s="7"/>
      <c r="Q62" s="10" t="str">
        <f>$E$3</f>
        <v>IN-6.0m-RIT-120-CNTR-MP</v>
      </c>
      <c r="R62" s="52"/>
      <c r="S62" s="15" t="str">
        <f>$E$3</f>
        <v>IN-6.0m-RIT-120-CNTR-MP</v>
      </c>
      <c r="T62" s="7"/>
      <c r="U62" s="10" t="str">
        <f>$E$3</f>
        <v>IN-6.0m-RIT-120-CNTR-MP</v>
      </c>
      <c r="V62" s="7"/>
      <c r="W62" s="10" t="str">
        <f>$E$3</f>
        <v>IN-6.0m-RIT-120-CNTR-MP</v>
      </c>
      <c r="X62" s="7"/>
      <c r="Y62" s="15" t="str">
        <f>$E$3</f>
        <v>IN-6.0m-RIT-120-CNTR-MP</v>
      </c>
      <c r="Z62" s="7"/>
      <c r="AA62" s="10" t="str">
        <f>$E$3</f>
        <v>IN-6.0m-RIT-120-CNTR-MP</v>
      </c>
      <c r="AB62" s="7"/>
      <c r="AC62" s="10" t="str">
        <f>$E$3</f>
        <v>IN-6.0m-RIT-120-CNTR-MP</v>
      </c>
      <c r="AD62" s="16"/>
      <c r="AE62" s="15" t="str">
        <f>$E$3</f>
        <v>IN-6.0m-RIT-120-CNTR-MP</v>
      </c>
      <c r="AF62" s="7"/>
      <c r="AG62" s="10" t="str">
        <f>$E$3</f>
        <v>IN-6.0m-RIT-120-CNTR-MP</v>
      </c>
      <c r="AH62" s="7"/>
      <c r="AI62" s="10" t="str">
        <f>$E$3</f>
        <v>IN-6.0m-RIT-120-CNTR-MP</v>
      </c>
      <c r="AJ62" s="16"/>
    </row>
    <row r="63" spans="1:36" x14ac:dyDescent="0.25">
      <c r="A63" s="10">
        <f>$E$35</f>
        <v>1</v>
      </c>
      <c r="B63" s="7"/>
      <c r="C63" s="10">
        <f>$E$35</f>
        <v>1</v>
      </c>
      <c r="D63" s="6"/>
      <c r="E63" s="10">
        <f>$E$35</f>
        <v>1</v>
      </c>
      <c r="F63" s="16"/>
      <c r="G63" s="15">
        <f>$E$35</f>
        <v>1</v>
      </c>
      <c r="H63" s="7"/>
      <c r="I63" s="10">
        <f>$E$35</f>
        <v>1</v>
      </c>
      <c r="J63" s="7"/>
      <c r="K63" s="10">
        <f>$E$35</f>
        <v>1</v>
      </c>
      <c r="L63" s="7"/>
      <c r="M63" s="15">
        <f>$E$35</f>
        <v>1</v>
      </c>
      <c r="N63" s="7"/>
      <c r="O63" s="10">
        <f>$E$35</f>
        <v>1</v>
      </c>
      <c r="P63" s="7"/>
      <c r="Q63" s="10">
        <f>$E$35</f>
        <v>1</v>
      </c>
      <c r="R63" s="52"/>
      <c r="S63" s="15">
        <f>$E$35</f>
        <v>1</v>
      </c>
      <c r="T63" s="7"/>
      <c r="U63" s="10">
        <f>$E$35</f>
        <v>1</v>
      </c>
      <c r="V63" s="7"/>
      <c r="W63" s="10">
        <f>$E$35</f>
        <v>1</v>
      </c>
      <c r="X63" s="7"/>
      <c r="Y63" s="15">
        <f>$E$35</f>
        <v>1</v>
      </c>
      <c r="Z63" s="7"/>
      <c r="AA63" s="10">
        <f>$E$35</f>
        <v>1</v>
      </c>
      <c r="AB63" s="7"/>
      <c r="AC63" s="10">
        <f>$E$35</f>
        <v>1</v>
      </c>
      <c r="AD63" s="16"/>
      <c r="AE63" s="15">
        <f>$E$35</f>
        <v>1</v>
      </c>
      <c r="AF63" s="7"/>
      <c r="AG63" s="10">
        <f>$E$35</f>
        <v>1</v>
      </c>
      <c r="AH63" s="7"/>
      <c r="AI63" s="10">
        <f>$E$35</f>
        <v>1</v>
      </c>
      <c r="AJ63" s="16"/>
    </row>
    <row r="64" spans="1:36" x14ac:dyDescent="0.25">
      <c r="A64" s="10" t="str">
        <f>$F$7</f>
        <v>M16</v>
      </c>
      <c r="B64" s="7"/>
      <c r="C64" s="10" t="str">
        <f>$F$7</f>
        <v>M16</v>
      </c>
      <c r="D64" s="6"/>
      <c r="E64" s="10" t="str">
        <f>$F$7</f>
        <v>M16</v>
      </c>
      <c r="F64" s="16"/>
      <c r="G64" s="15" t="str">
        <f>$F$7</f>
        <v>M16</v>
      </c>
      <c r="H64" s="7"/>
      <c r="I64" s="10" t="str">
        <f>$F$7</f>
        <v>M16</v>
      </c>
      <c r="J64" s="7"/>
      <c r="K64" s="10" t="str">
        <f>$F$7</f>
        <v>M16</v>
      </c>
      <c r="L64" s="7"/>
      <c r="M64" s="15" t="str">
        <f>$F$7</f>
        <v>M16</v>
      </c>
      <c r="N64" s="7"/>
      <c r="O64" s="10" t="str">
        <f>$F$7</f>
        <v>M16</v>
      </c>
      <c r="P64" s="7"/>
      <c r="Q64" s="10" t="str">
        <f>$F$7</f>
        <v>M16</v>
      </c>
      <c r="R64" s="52"/>
      <c r="S64" s="15" t="str">
        <f>$F$7</f>
        <v>M16</v>
      </c>
      <c r="T64" s="7"/>
      <c r="U64" s="10" t="str">
        <f>$F$7</f>
        <v>M16</v>
      </c>
      <c r="V64" s="7"/>
      <c r="W64" s="10" t="str">
        <f>$F$7</f>
        <v>M16</v>
      </c>
      <c r="X64" s="7"/>
      <c r="Y64" s="15" t="str">
        <f>$F$7</f>
        <v>M16</v>
      </c>
      <c r="Z64" s="7"/>
      <c r="AA64" s="10" t="str">
        <f>$F$7</f>
        <v>M16</v>
      </c>
      <c r="AB64" s="7"/>
      <c r="AC64" s="10" t="str">
        <f>$F$7</f>
        <v>M16</v>
      </c>
      <c r="AD64" s="16"/>
      <c r="AE64" s="15" t="str">
        <f>$F$7</f>
        <v>M16</v>
      </c>
      <c r="AF64" s="7"/>
      <c r="AG64" s="10" t="str">
        <f>$F$7</f>
        <v>M16</v>
      </c>
      <c r="AH64" s="7"/>
      <c r="AI64" s="10" t="str">
        <f>$F$7</f>
        <v>M16</v>
      </c>
      <c r="AJ64" s="16"/>
    </row>
    <row r="65" spans="1:36" x14ac:dyDescent="0.25">
      <c r="A65" s="11">
        <f>$F$8</f>
        <v>6</v>
      </c>
      <c r="B65" s="7"/>
      <c r="C65" s="11">
        <f>$F$8</f>
        <v>6</v>
      </c>
      <c r="D65" s="6"/>
      <c r="E65" s="11">
        <f>$F$8</f>
        <v>6</v>
      </c>
      <c r="F65" s="16"/>
      <c r="G65" s="17">
        <f>$F$8</f>
        <v>6</v>
      </c>
      <c r="H65" s="7"/>
      <c r="I65" s="11">
        <f>$F$8</f>
        <v>6</v>
      </c>
      <c r="J65" s="7"/>
      <c r="K65" s="11">
        <f>$F$8</f>
        <v>6</v>
      </c>
      <c r="L65" s="7"/>
      <c r="M65" s="17">
        <f>$F$8</f>
        <v>6</v>
      </c>
      <c r="N65" s="7"/>
      <c r="O65" s="11">
        <f>$F$8</f>
        <v>6</v>
      </c>
      <c r="P65" s="7"/>
      <c r="Q65" s="11">
        <f>$F$8</f>
        <v>6</v>
      </c>
      <c r="R65" s="52"/>
      <c r="S65" s="17">
        <f>$F$8</f>
        <v>6</v>
      </c>
      <c r="T65" s="7"/>
      <c r="U65" s="11">
        <f>$F$8</f>
        <v>6</v>
      </c>
      <c r="V65" s="7"/>
      <c r="W65" s="11">
        <f>$F$8</f>
        <v>6</v>
      </c>
      <c r="X65" s="7"/>
      <c r="Y65" s="17">
        <f>$F$8</f>
        <v>6</v>
      </c>
      <c r="Z65" s="7"/>
      <c r="AA65" s="11">
        <f>$F$8</f>
        <v>6</v>
      </c>
      <c r="AB65" s="7"/>
      <c r="AC65" s="11">
        <f>$F$8</f>
        <v>6</v>
      </c>
      <c r="AD65" s="16"/>
      <c r="AE65" s="17">
        <f>$F$8</f>
        <v>6</v>
      </c>
      <c r="AF65" s="7"/>
      <c r="AG65" s="11">
        <f>$F$8</f>
        <v>6</v>
      </c>
      <c r="AH65" s="7"/>
      <c r="AI65" s="11">
        <f>$F$8</f>
        <v>6</v>
      </c>
      <c r="AJ65" s="16"/>
    </row>
    <row r="66" spans="1:36" x14ac:dyDescent="0.25">
      <c r="A66" s="11">
        <f>$F$9</f>
        <v>6</v>
      </c>
      <c r="B66" s="7"/>
      <c r="C66" s="11">
        <f>$F$9</f>
        <v>6</v>
      </c>
      <c r="D66" s="6"/>
      <c r="E66" s="11">
        <f>$F$9</f>
        <v>6</v>
      </c>
      <c r="F66" s="16"/>
      <c r="G66" s="17">
        <f>$F$9</f>
        <v>6</v>
      </c>
      <c r="H66" s="7"/>
      <c r="I66" s="11">
        <f>$F$9</f>
        <v>6</v>
      </c>
      <c r="J66" s="7"/>
      <c r="K66" s="11">
        <f>$F$9</f>
        <v>6</v>
      </c>
      <c r="L66" s="7"/>
      <c r="M66" s="17">
        <f>$F$9</f>
        <v>6</v>
      </c>
      <c r="N66" s="7"/>
      <c r="O66" s="11">
        <f>$F$9</f>
        <v>6</v>
      </c>
      <c r="P66" s="7"/>
      <c r="Q66" s="11">
        <f>$F$9</f>
        <v>6</v>
      </c>
      <c r="R66" s="52"/>
      <c r="S66" s="17">
        <f>$F$9</f>
        <v>6</v>
      </c>
      <c r="T66" s="7"/>
      <c r="U66" s="11">
        <f>$F$9</f>
        <v>6</v>
      </c>
      <c r="V66" s="7"/>
      <c r="W66" s="11">
        <f>$F$9</f>
        <v>6</v>
      </c>
      <c r="X66" s="7"/>
      <c r="Y66" s="17">
        <f>$F$9</f>
        <v>6</v>
      </c>
      <c r="Z66" s="7"/>
      <c r="AA66" s="11">
        <f>$F$9</f>
        <v>6</v>
      </c>
      <c r="AB66" s="7"/>
      <c r="AC66" s="11">
        <f>$F$9</f>
        <v>6</v>
      </c>
      <c r="AD66" s="16"/>
      <c r="AE66" s="17">
        <f>$F$9</f>
        <v>6</v>
      </c>
      <c r="AF66" s="7"/>
      <c r="AG66" s="11">
        <f>$F$9</f>
        <v>6</v>
      </c>
      <c r="AH66" s="7"/>
      <c r="AI66" s="11">
        <f>$F$9</f>
        <v>6</v>
      </c>
      <c r="AJ66" s="16"/>
    </row>
    <row r="67" spans="1:36" x14ac:dyDescent="0.25">
      <c r="A67" s="11">
        <f>$E$36</f>
        <v>400</v>
      </c>
      <c r="B67" s="7"/>
      <c r="C67" s="11">
        <f>$E$36</f>
        <v>400</v>
      </c>
      <c r="D67" s="6"/>
      <c r="E67" s="11">
        <f>$E$36</f>
        <v>400</v>
      </c>
      <c r="F67" s="16"/>
      <c r="G67" s="17">
        <f>$E$36</f>
        <v>400</v>
      </c>
      <c r="H67" s="7"/>
      <c r="I67" s="11">
        <f>$E$36</f>
        <v>400</v>
      </c>
      <c r="J67" s="7"/>
      <c r="K67" s="11">
        <f>$E$36</f>
        <v>400</v>
      </c>
      <c r="L67" s="7"/>
      <c r="M67" s="17">
        <f>$E$36</f>
        <v>400</v>
      </c>
      <c r="N67" s="7"/>
      <c r="O67" s="11">
        <f>$E$36</f>
        <v>400</v>
      </c>
      <c r="P67" s="7"/>
      <c r="Q67" s="11">
        <f>$E$36</f>
        <v>400</v>
      </c>
      <c r="R67" s="52"/>
      <c r="S67" s="17">
        <f>$E$36</f>
        <v>400</v>
      </c>
      <c r="T67" s="7"/>
      <c r="U67" s="11">
        <f>$E$36</f>
        <v>400</v>
      </c>
      <c r="V67" s="7"/>
      <c r="W67" s="11">
        <f>$E$36</f>
        <v>400</v>
      </c>
      <c r="X67" s="7"/>
      <c r="Y67" s="17">
        <f>$E$36</f>
        <v>400</v>
      </c>
      <c r="Z67" s="7"/>
      <c r="AA67" s="11">
        <f>$E$36</f>
        <v>400</v>
      </c>
      <c r="AB67" s="7"/>
      <c r="AC67" s="11">
        <f>$E$36</f>
        <v>400</v>
      </c>
      <c r="AD67" s="16"/>
      <c r="AE67" s="17">
        <f>$E$36</f>
        <v>400</v>
      </c>
      <c r="AF67" s="7"/>
      <c r="AG67" s="11">
        <f>$E$36</f>
        <v>400</v>
      </c>
      <c r="AH67" s="7"/>
      <c r="AI67" s="11">
        <f>$E$36</f>
        <v>400</v>
      </c>
      <c r="AJ67" s="16"/>
    </row>
    <row r="68" spans="1:36" x14ac:dyDescent="0.25">
      <c r="A68" s="11">
        <f>$E$37</f>
        <v>400</v>
      </c>
      <c r="B68" s="7"/>
      <c r="C68" s="11">
        <f>$E$37</f>
        <v>400</v>
      </c>
      <c r="D68" s="6"/>
      <c r="E68" s="11">
        <f>$E$37</f>
        <v>400</v>
      </c>
      <c r="F68" s="16"/>
      <c r="G68" s="17">
        <f>$E$37</f>
        <v>400</v>
      </c>
      <c r="H68" s="7"/>
      <c r="I68" s="11">
        <f>$E$37</f>
        <v>400</v>
      </c>
      <c r="J68" s="7"/>
      <c r="K68" s="11">
        <f>$E$37</f>
        <v>400</v>
      </c>
      <c r="L68" s="7"/>
      <c r="M68" s="17">
        <f>$E$37</f>
        <v>400</v>
      </c>
      <c r="N68" s="7"/>
      <c r="O68" s="11">
        <f>$E$37</f>
        <v>400</v>
      </c>
      <c r="P68" s="7"/>
      <c r="Q68" s="11">
        <f>$E$37</f>
        <v>400</v>
      </c>
      <c r="R68" s="52"/>
      <c r="S68" s="17">
        <f>$E$37</f>
        <v>400</v>
      </c>
      <c r="T68" s="7"/>
      <c r="U68" s="11">
        <f>$E$37</f>
        <v>400</v>
      </c>
      <c r="V68" s="7"/>
      <c r="W68" s="11">
        <f>$E$37</f>
        <v>400</v>
      </c>
      <c r="X68" s="7"/>
      <c r="Y68" s="17">
        <f>$E$37</f>
        <v>400</v>
      </c>
      <c r="Z68" s="7"/>
      <c r="AA68" s="11">
        <f>$E$37</f>
        <v>400</v>
      </c>
      <c r="AB68" s="7"/>
      <c r="AC68" s="11">
        <f>$E$37</f>
        <v>400</v>
      </c>
      <c r="AD68" s="16"/>
      <c r="AE68" s="17">
        <f>$E$37</f>
        <v>400</v>
      </c>
      <c r="AF68" s="7"/>
      <c r="AG68" s="11">
        <f>$E$37</f>
        <v>400</v>
      </c>
      <c r="AH68" s="7"/>
      <c r="AI68" s="11">
        <f>$E$37</f>
        <v>400</v>
      </c>
      <c r="AJ68" s="16"/>
    </row>
    <row r="69" spans="1:36" x14ac:dyDescent="0.25">
      <c r="A69" s="11">
        <f>$E$38</f>
        <v>6000</v>
      </c>
      <c r="B69" s="7"/>
      <c r="C69" s="11">
        <f>$E$38</f>
        <v>6000</v>
      </c>
      <c r="D69" s="6"/>
      <c r="E69" s="11">
        <f>$E$38</f>
        <v>6000</v>
      </c>
      <c r="F69" s="16"/>
      <c r="G69" s="17">
        <f>$E$38</f>
        <v>6000</v>
      </c>
      <c r="H69" s="7"/>
      <c r="I69" s="11">
        <f>$E$38</f>
        <v>6000</v>
      </c>
      <c r="J69" s="7"/>
      <c r="K69" s="11">
        <f>$E$38</f>
        <v>6000</v>
      </c>
      <c r="L69" s="7"/>
      <c r="M69" s="17">
        <f>$E$38</f>
        <v>6000</v>
      </c>
      <c r="N69" s="7"/>
      <c r="O69" s="11">
        <f>$E$38</f>
        <v>6000</v>
      </c>
      <c r="P69" s="7"/>
      <c r="Q69" s="11">
        <f>$E$38</f>
        <v>6000</v>
      </c>
      <c r="R69" s="52"/>
      <c r="S69" s="17">
        <f>$E$38</f>
        <v>6000</v>
      </c>
      <c r="T69" s="7"/>
      <c r="U69" s="11">
        <f>$E$38</f>
        <v>6000</v>
      </c>
      <c r="V69" s="7"/>
      <c r="W69" s="11">
        <f>$E$38</f>
        <v>6000</v>
      </c>
      <c r="X69" s="7"/>
      <c r="Y69" s="17">
        <f>$E$38</f>
        <v>6000</v>
      </c>
      <c r="Z69" s="7"/>
      <c r="AA69" s="11">
        <f>$E$38</f>
        <v>6000</v>
      </c>
      <c r="AB69" s="7"/>
      <c r="AC69" s="11">
        <f>$E$38</f>
        <v>6000</v>
      </c>
      <c r="AD69" s="16"/>
      <c r="AE69" s="17">
        <f>$E$38</f>
        <v>6000</v>
      </c>
      <c r="AF69" s="7"/>
      <c r="AG69" s="11">
        <f>$E$38</f>
        <v>6000</v>
      </c>
      <c r="AH69" s="7"/>
      <c r="AI69" s="11">
        <f>$E$38</f>
        <v>6000</v>
      </c>
      <c r="AJ69" s="16"/>
    </row>
    <row r="70" spans="1:36" x14ac:dyDescent="0.25">
      <c r="A70" s="11">
        <f>$E$43</f>
        <v>88.9</v>
      </c>
      <c r="B70" s="7"/>
      <c r="C70" s="11">
        <f>$E$39</f>
        <v>3000</v>
      </c>
      <c r="D70" s="6"/>
      <c r="E70" s="11">
        <f>$E$39</f>
        <v>3000</v>
      </c>
      <c r="F70" s="16"/>
      <c r="G70" s="17">
        <f>$E$43</f>
        <v>88.9</v>
      </c>
      <c r="H70" s="7"/>
      <c r="I70" s="11">
        <f>$E$39</f>
        <v>3000</v>
      </c>
      <c r="J70" s="7"/>
      <c r="K70" s="11">
        <f>$E$39</f>
        <v>3000</v>
      </c>
      <c r="L70" s="7"/>
      <c r="M70" s="17">
        <f>$E$43</f>
        <v>88.9</v>
      </c>
      <c r="N70" s="7"/>
      <c r="O70" s="11">
        <f>$E$39</f>
        <v>3000</v>
      </c>
      <c r="P70" s="7"/>
      <c r="Q70" s="11">
        <f>$E$39</f>
        <v>3000</v>
      </c>
      <c r="R70" s="52"/>
      <c r="S70" s="17">
        <f>$E$43</f>
        <v>88.9</v>
      </c>
      <c r="T70" s="7"/>
      <c r="U70" s="11">
        <f>$E$39</f>
        <v>3000</v>
      </c>
      <c r="V70" s="7"/>
      <c r="W70" s="11">
        <f>$E$39</f>
        <v>3000</v>
      </c>
      <c r="X70" s="7"/>
      <c r="Y70" s="17">
        <f>$E$43</f>
        <v>88.9</v>
      </c>
      <c r="Z70" s="7"/>
      <c r="AA70" s="11">
        <f>$E$39</f>
        <v>3000</v>
      </c>
      <c r="AB70" s="7"/>
      <c r="AC70" s="11">
        <f>$E$39</f>
        <v>3000</v>
      </c>
      <c r="AD70" s="16"/>
      <c r="AE70" s="17">
        <f>$E$43</f>
        <v>88.9</v>
      </c>
      <c r="AF70" s="7"/>
      <c r="AG70" s="11">
        <f>$E$39</f>
        <v>3000</v>
      </c>
      <c r="AH70" s="7"/>
      <c r="AI70" s="11">
        <f>$E$39</f>
        <v>3000</v>
      </c>
      <c r="AJ70" s="16"/>
    </row>
    <row r="71" spans="1:36" x14ac:dyDescent="0.25">
      <c r="A71" s="11">
        <f>$F$43</f>
        <v>3.6</v>
      </c>
      <c r="B71" s="7"/>
      <c r="C71" s="11">
        <f>$E$43</f>
        <v>88.9</v>
      </c>
      <c r="D71" s="6"/>
      <c r="E71" s="11">
        <f>$E$40</f>
        <v>3000</v>
      </c>
      <c r="F71" s="16"/>
      <c r="G71" s="17">
        <f>$F$43</f>
        <v>3.6</v>
      </c>
      <c r="H71" s="7"/>
      <c r="I71" s="11">
        <f>$E$43</f>
        <v>88.9</v>
      </c>
      <c r="J71" s="7"/>
      <c r="K71" s="11">
        <f>$E$40</f>
        <v>3000</v>
      </c>
      <c r="L71" s="7"/>
      <c r="M71" s="17">
        <f>$F$43</f>
        <v>3.6</v>
      </c>
      <c r="N71" s="7"/>
      <c r="O71" s="11">
        <f>$E$43</f>
        <v>88.9</v>
      </c>
      <c r="P71" s="7"/>
      <c r="Q71" s="11">
        <f>$E$40</f>
        <v>3000</v>
      </c>
      <c r="R71" s="52"/>
      <c r="S71" s="17">
        <f>$F$43</f>
        <v>3.6</v>
      </c>
      <c r="T71" s="7"/>
      <c r="U71" s="11">
        <f>$E$43</f>
        <v>88.9</v>
      </c>
      <c r="V71" s="7"/>
      <c r="W71" s="11">
        <f>$E$40</f>
        <v>3000</v>
      </c>
      <c r="X71" s="7"/>
      <c r="Y71" s="17">
        <f>$F$43</f>
        <v>3.6</v>
      </c>
      <c r="Z71" s="7"/>
      <c r="AA71" s="11">
        <f>$E$43</f>
        <v>88.9</v>
      </c>
      <c r="AB71" s="7"/>
      <c r="AC71" s="11">
        <f>$E$40</f>
        <v>3000</v>
      </c>
      <c r="AD71" s="16"/>
      <c r="AE71" s="17">
        <f>$F$43</f>
        <v>3.6</v>
      </c>
      <c r="AF71" s="7"/>
      <c r="AG71" s="11">
        <f>$E$43</f>
        <v>88.9</v>
      </c>
      <c r="AH71" s="7"/>
      <c r="AI71" s="11">
        <f>$E$40</f>
        <v>3000</v>
      </c>
      <c r="AJ71" s="16"/>
    </row>
    <row r="72" spans="1:36" x14ac:dyDescent="0.25">
      <c r="A72" s="11">
        <f>$M$35</f>
        <v>1</v>
      </c>
      <c r="B72" s="7"/>
      <c r="C72" s="10">
        <f>$F$43</f>
        <v>3.6</v>
      </c>
      <c r="D72" s="6"/>
      <c r="E72" s="10">
        <f>$E$43</f>
        <v>88.9</v>
      </c>
      <c r="F72" s="16"/>
      <c r="G72" s="17">
        <f>$M$35</f>
        <v>1</v>
      </c>
      <c r="H72" s="7"/>
      <c r="I72" s="10">
        <f>$F$43</f>
        <v>3.6</v>
      </c>
      <c r="J72" s="7"/>
      <c r="K72" s="10">
        <f>$E$43</f>
        <v>88.9</v>
      </c>
      <c r="L72" s="7"/>
      <c r="M72" s="17">
        <f>$M$35</f>
        <v>1</v>
      </c>
      <c r="N72" s="7"/>
      <c r="O72" s="10">
        <f>$F$43</f>
        <v>3.6</v>
      </c>
      <c r="P72" s="7"/>
      <c r="Q72" s="10">
        <f>$E$43</f>
        <v>88.9</v>
      </c>
      <c r="R72" s="52"/>
      <c r="S72" s="17">
        <f>$M$35</f>
        <v>1</v>
      </c>
      <c r="T72" s="7"/>
      <c r="U72" s="10">
        <f>$F$43</f>
        <v>3.6</v>
      </c>
      <c r="V72" s="7"/>
      <c r="W72" s="10">
        <f>$E$43</f>
        <v>88.9</v>
      </c>
      <c r="X72" s="7"/>
      <c r="Y72" s="17">
        <f>$M$35</f>
        <v>1</v>
      </c>
      <c r="Z72" s="7"/>
      <c r="AA72" s="10">
        <f>$F$43</f>
        <v>3.6</v>
      </c>
      <c r="AB72" s="7"/>
      <c r="AC72" s="10">
        <f>$E$43</f>
        <v>88.9</v>
      </c>
      <c r="AD72" s="16"/>
      <c r="AE72" s="17">
        <f>$M$35</f>
        <v>1</v>
      </c>
      <c r="AF72" s="7"/>
      <c r="AG72" s="10">
        <f>$F$43</f>
        <v>3.6</v>
      </c>
      <c r="AH72" s="7"/>
      <c r="AI72" s="10">
        <f>$E$43</f>
        <v>88.9</v>
      </c>
      <c r="AJ72" s="16"/>
    </row>
    <row r="73" spans="1:36" x14ac:dyDescent="0.25">
      <c r="A73" s="11">
        <f>$M$36</f>
        <v>1500</v>
      </c>
      <c r="B73" s="7"/>
      <c r="C73" s="10">
        <f>$E$44</f>
        <v>88.9</v>
      </c>
      <c r="D73" s="6"/>
      <c r="E73" s="10">
        <f>$F$43</f>
        <v>3.6</v>
      </c>
      <c r="F73" s="16"/>
      <c r="G73" s="17">
        <f>$M$36</f>
        <v>1500</v>
      </c>
      <c r="H73" s="7"/>
      <c r="I73" s="10">
        <f>$E$44</f>
        <v>88.9</v>
      </c>
      <c r="J73" s="7"/>
      <c r="K73" s="10">
        <f>$F$43</f>
        <v>3.6</v>
      </c>
      <c r="L73" s="7"/>
      <c r="M73" s="17">
        <f>$M$36</f>
        <v>1500</v>
      </c>
      <c r="N73" s="7"/>
      <c r="O73" s="10">
        <f>$E$44</f>
        <v>88.9</v>
      </c>
      <c r="P73" s="7"/>
      <c r="Q73" s="10">
        <f>$F$43</f>
        <v>3.6</v>
      </c>
      <c r="R73" s="52"/>
      <c r="S73" s="17">
        <f>$M$36</f>
        <v>1500</v>
      </c>
      <c r="T73" s="7"/>
      <c r="U73" s="10">
        <f>$E$44</f>
        <v>88.9</v>
      </c>
      <c r="V73" s="7"/>
      <c r="W73" s="10">
        <f>$F$43</f>
        <v>3.6</v>
      </c>
      <c r="X73" s="7"/>
      <c r="Y73" s="17">
        <f>$M$36</f>
        <v>1500</v>
      </c>
      <c r="Z73" s="7"/>
      <c r="AA73" s="10">
        <f>$E$44</f>
        <v>88.9</v>
      </c>
      <c r="AB73" s="7"/>
      <c r="AC73" s="10">
        <f>$F$43</f>
        <v>3.6</v>
      </c>
      <c r="AD73" s="16"/>
      <c r="AE73" s="17">
        <f>$M$36</f>
        <v>1500</v>
      </c>
      <c r="AF73" s="7"/>
      <c r="AG73" s="10">
        <f>$E$44</f>
        <v>88.9</v>
      </c>
      <c r="AH73" s="7"/>
      <c r="AI73" s="10">
        <f>$F$43</f>
        <v>3.6</v>
      </c>
      <c r="AJ73" s="16"/>
    </row>
    <row r="74" spans="1:36" x14ac:dyDescent="0.25">
      <c r="A74" s="11">
        <f>$M$37</f>
        <v>3500</v>
      </c>
      <c r="B74" s="7"/>
      <c r="C74" s="10">
        <f>$F$44</f>
        <v>3.2</v>
      </c>
      <c r="D74" s="6"/>
      <c r="E74" s="10">
        <f>$E$44</f>
        <v>88.9</v>
      </c>
      <c r="F74" s="16"/>
      <c r="G74" s="17">
        <f>$M$37</f>
        <v>3500</v>
      </c>
      <c r="H74" s="7"/>
      <c r="I74" s="10">
        <f>$F$44</f>
        <v>3.2</v>
      </c>
      <c r="J74" s="7"/>
      <c r="K74" s="10">
        <f>$E$44</f>
        <v>88.9</v>
      </c>
      <c r="L74" s="7"/>
      <c r="M74" s="17">
        <f>$M$37</f>
        <v>3500</v>
      </c>
      <c r="N74" s="7"/>
      <c r="O74" s="10">
        <f>$F$44</f>
        <v>3.2</v>
      </c>
      <c r="P74" s="7"/>
      <c r="Q74" s="10">
        <f>$E$44</f>
        <v>88.9</v>
      </c>
      <c r="R74" s="52"/>
      <c r="S74" s="17">
        <f>$M$37</f>
        <v>3500</v>
      </c>
      <c r="T74" s="7"/>
      <c r="U74" s="10">
        <f>$F$44</f>
        <v>3.2</v>
      </c>
      <c r="V74" s="7"/>
      <c r="W74" s="10">
        <f>$E$44</f>
        <v>88.9</v>
      </c>
      <c r="X74" s="7"/>
      <c r="Y74" s="17">
        <f>$M$37</f>
        <v>3500</v>
      </c>
      <c r="Z74" s="7"/>
      <c r="AA74" s="10">
        <f>$F$44</f>
        <v>3.2</v>
      </c>
      <c r="AB74" s="7"/>
      <c r="AC74" s="10">
        <f>$E$44</f>
        <v>88.9</v>
      </c>
      <c r="AD74" s="16"/>
      <c r="AE74" s="17">
        <f>$M$37</f>
        <v>3500</v>
      </c>
      <c r="AF74" s="7"/>
      <c r="AG74" s="10">
        <f>$F$44</f>
        <v>3.2</v>
      </c>
      <c r="AH74" s="7"/>
      <c r="AI74" s="10">
        <f>$E$44</f>
        <v>88.9</v>
      </c>
      <c r="AJ74" s="16"/>
    </row>
    <row r="75" spans="1:36" x14ac:dyDescent="0.25">
      <c r="A75" s="11">
        <f>$M$38</f>
        <v>300</v>
      </c>
      <c r="B75" s="7"/>
      <c r="C75" s="11">
        <f>$M$35</f>
        <v>1</v>
      </c>
      <c r="D75" s="6"/>
      <c r="E75" s="10">
        <f>$F$44</f>
        <v>3.2</v>
      </c>
      <c r="F75" s="16"/>
      <c r="G75" s="17">
        <f>$M$38</f>
        <v>300</v>
      </c>
      <c r="H75" s="7"/>
      <c r="I75" s="11">
        <f>$M$35</f>
        <v>1</v>
      </c>
      <c r="J75" s="7"/>
      <c r="K75" s="10">
        <f>$F$44</f>
        <v>3.2</v>
      </c>
      <c r="L75" s="7"/>
      <c r="M75" s="17">
        <f>$M$38</f>
        <v>300</v>
      </c>
      <c r="N75" s="7"/>
      <c r="O75" s="11">
        <f>$M$35</f>
        <v>1</v>
      </c>
      <c r="P75" s="7"/>
      <c r="Q75" s="10">
        <f>$F$44</f>
        <v>3.2</v>
      </c>
      <c r="R75" s="52"/>
      <c r="S75" s="17">
        <f>$M$38</f>
        <v>300</v>
      </c>
      <c r="T75" s="7"/>
      <c r="U75" s="11">
        <f>$M$35</f>
        <v>1</v>
      </c>
      <c r="V75" s="7"/>
      <c r="W75" s="10">
        <f>$F$44</f>
        <v>3.2</v>
      </c>
      <c r="X75" s="7"/>
      <c r="Y75" s="17">
        <f>$M$38</f>
        <v>300</v>
      </c>
      <c r="Z75" s="7"/>
      <c r="AA75" s="11">
        <f>$M$35</f>
        <v>1</v>
      </c>
      <c r="AB75" s="7"/>
      <c r="AC75" s="10">
        <f>$F$44</f>
        <v>3.2</v>
      </c>
      <c r="AD75" s="16"/>
      <c r="AE75" s="17">
        <f>$M$38</f>
        <v>300</v>
      </c>
      <c r="AF75" s="7"/>
      <c r="AG75" s="11">
        <f>$M$35</f>
        <v>1</v>
      </c>
      <c r="AH75" s="7"/>
      <c r="AI75" s="10">
        <f>$F$44</f>
        <v>3.2</v>
      </c>
      <c r="AJ75" s="16"/>
    </row>
    <row r="76" spans="1:36" x14ac:dyDescent="0.25">
      <c r="A76" s="11">
        <f>$M$39</f>
        <v>300</v>
      </c>
      <c r="B76" s="7"/>
      <c r="C76" s="11">
        <f>$M$36</f>
        <v>1500</v>
      </c>
      <c r="D76" s="6"/>
      <c r="E76" s="10">
        <f>$E$45</f>
        <v>0</v>
      </c>
      <c r="F76" s="16"/>
      <c r="G76" s="17">
        <f>$M$39</f>
        <v>300</v>
      </c>
      <c r="H76" s="7"/>
      <c r="I76" s="11">
        <f>$M$36</f>
        <v>1500</v>
      </c>
      <c r="J76" s="7"/>
      <c r="K76" s="10">
        <f>$E$45</f>
        <v>0</v>
      </c>
      <c r="L76" s="7"/>
      <c r="M76" s="17">
        <f>$M$39</f>
        <v>300</v>
      </c>
      <c r="N76" s="7"/>
      <c r="O76" s="11">
        <f>$M$36</f>
        <v>1500</v>
      </c>
      <c r="P76" s="7"/>
      <c r="Q76" s="10">
        <f>$E$45</f>
        <v>0</v>
      </c>
      <c r="R76" s="52"/>
      <c r="S76" s="17">
        <f>$M$39</f>
        <v>300</v>
      </c>
      <c r="T76" s="7"/>
      <c r="U76" s="11">
        <f>$M$36</f>
        <v>1500</v>
      </c>
      <c r="V76" s="7"/>
      <c r="W76" s="10">
        <f>$E$45</f>
        <v>0</v>
      </c>
      <c r="X76" s="7"/>
      <c r="Y76" s="17">
        <f>$M$39</f>
        <v>300</v>
      </c>
      <c r="Z76" s="7"/>
      <c r="AA76" s="11">
        <f>$M$36</f>
        <v>1500</v>
      </c>
      <c r="AB76" s="7"/>
      <c r="AC76" s="10">
        <f>$E$45</f>
        <v>0</v>
      </c>
      <c r="AD76" s="16"/>
      <c r="AE76" s="17">
        <f>$M$39</f>
        <v>300</v>
      </c>
      <c r="AF76" s="7"/>
      <c r="AG76" s="11">
        <f>$M$36</f>
        <v>1500</v>
      </c>
      <c r="AH76" s="7"/>
      <c r="AI76" s="10">
        <f>$E$45</f>
        <v>0</v>
      </c>
      <c r="AJ76" s="16"/>
    </row>
    <row r="77" spans="1:36" x14ac:dyDescent="0.25">
      <c r="A77" s="11">
        <f>$M$40</f>
        <v>120</v>
      </c>
      <c r="B77" s="7"/>
      <c r="C77" s="11">
        <f>$M$37</f>
        <v>3500</v>
      </c>
      <c r="D77" s="6"/>
      <c r="E77" s="10">
        <f>$F$45</f>
        <v>3.2</v>
      </c>
      <c r="F77" s="16"/>
      <c r="G77" s="17">
        <f>$M$40</f>
        <v>120</v>
      </c>
      <c r="H77" s="7"/>
      <c r="I77" s="11">
        <f>$M$37</f>
        <v>3500</v>
      </c>
      <c r="J77" s="7"/>
      <c r="K77" s="10">
        <f>$F$45</f>
        <v>3.2</v>
      </c>
      <c r="L77" s="7"/>
      <c r="M77" s="17">
        <f>$M$40</f>
        <v>120</v>
      </c>
      <c r="N77" s="7"/>
      <c r="O77" s="11">
        <f>$M$37</f>
        <v>3500</v>
      </c>
      <c r="P77" s="7"/>
      <c r="Q77" s="10">
        <f>$F$45</f>
        <v>3.2</v>
      </c>
      <c r="R77" s="52"/>
      <c r="S77" s="17">
        <f>$M$40</f>
        <v>120</v>
      </c>
      <c r="T77" s="7"/>
      <c r="U77" s="11">
        <f>$M$37</f>
        <v>3500</v>
      </c>
      <c r="V77" s="7"/>
      <c r="W77" s="10">
        <f>$F$45</f>
        <v>3.2</v>
      </c>
      <c r="X77" s="7"/>
      <c r="Y77" s="17">
        <f>$M$40</f>
        <v>120</v>
      </c>
      <c r="Z77" s="7"/>
      <c r="AA77" s="11">
        <f>$M$37</f>
        <v>3500</v>
      </c>
      <c r="AB77" s="7"/>
      <c r="AC77" s="10">
        <f>$F$45</f>
        <v>3.2</v>
      </c>
      <c r="AD77" s="16"/>
      <c r="AE77" s="17">
        <f>$M$40</f>
        <v>120</v>
      </c>
      <c r="AF77" s="7"/>
      <c r="AG77" s="11">
        <f>$M$37</f>
        <v>3500</v>
      </c>
      <c r="AH77" s="7"/>
      <c r="AI77" s="10">
        <f>$F$45</f>
        <v>3.2</v>
      </c>
      <c r="AJ77" s="16"/>
    </row>
    <row r="78" spans="1:36" x14ac:dyDescent="0.25">
      <c r="A78" s="11" t="str">
        <f>$M$41</f>
        <v>P</v>
      </c>
      <c r="B78" s="7"/>
      <c r="C78" s="11">
        <f>$M$38</f>
        <v>300</v>
      </c>
      <c r="D78" s="6"/>
      <c r="E78" s="11">
        <f>$M$35</f>
        <v>1</v>
      </c>
      <c r="F78" s="16"/>
      <c r="G78" s="17" t="str">
        <f>$M$41</f>
        <v>P</v>
      </c>
      <c r="H78" s="7"/>
      <c r="I78" s="11">
        <f>$M$38</f>
        <v>300</v>
      </c>
      <c r="J78" s="7"/>
      <c r="K78" s="11">
        <f>$M$35</f>
        <v>1</v>
      </c>
      <c r="L78" s="7"/>
      <c r="M78" s="17" t="str">
        <f>$M$41</f>
        <v>P</v>
      </c>
      <c r="N78" s="7"/>
      <c r="O78" s="11">
        <f>$M$38</f>
        <v>300</v>
      </c>
      <c r="P78" s="7"/>
      <c r="Q78" s="11">
        <f>$M$35</f>
        <v>1</v>
      </c>
      <c r="R78" s="52"/>
      <c r="S78" s="17" t="str">
        <f>$M$41</f>
        <v>P</v>
      </c>
      <c r="T78" s="7"/>
      <c r="U78" s="11">
        <f>$M$38</f>
        <v>300</v>
      </c>
      <c r="V78" s="7"/>
      <c r="W78" s="11">
        <f>$M$35</f>
        <v>1</v>
      </c>
      <c r="X78" s="7"/>
      <c r="Y78" s="17" t="str">
        <f>$M$41</f>
        <v>P</v>
      </c>
      <c r="Z78" s="7"/>
      <c r="AA78" s="11">
        <f>$M$38</f>
        <v>300</v>
      </c>
      <c r="AB78" s="7"/>
      <c r="AC78" s="11">
        <f>$M$35</f>
        <v>1</v>
      </c>
      <c r="AD78" s="16"/>
      <c r="AE78" s="17" t="str">
        <f>$M$41</f>
        <v>P</v>
      </c>
      <c r="AF78" s="7"/>
      <c r="AG78" s="11">
        <f>$M$38</f>
        <v>300</v>
      </c>
      <c r="AH78" s="7"/>
      <c r="AI78" s="11">
        <f>$M$35</f>
        <v>1</v>
      </c>
      <c r="AJ78" s="16"/>
    </row>
    <row r="79" spans="1:36" x14ac:dyDescent="0.25">
      <c r="A79" s="11" t="str">
        <f>$M$42</f>
        <v>48.3x3.2</v>
      </c>
      <c r="B79" s="7"/>
      <c r="C79" s="11">
        <f>$M$39</f>
        <v>300</v>
      </c>
      <c r="D79" s="6"/>
      <c r="E79" s="11">
        <f>$M$36</f>
        <v>1500</v>
      </c>
      <c r="F79" s="16"/>
      <c r="G79" s="17" t="str">
        <f>$M$42</f>
        <v>48.3x3.2</v>
      </c>
      <c r="H79" s="7"/>
      <c r="I79" s="11">
        <f>$M$39</f>
        <v>300</v>
      </c>
      <c r="J79" s="7"/>
      <c r="K79" s="11">
        <f>$M$36</f>
        <v>1500</v>
      </c>
      <c r="L79" s="7"/>
      <c r="M79" s="17" t="str">
        <f>$M$42</f>
        <v>48.3x3.2</v>
      </c>
      <c r="N79" s="7"/>
      <c r="O79" s="11">
        <f>$M$39</f>
        <v>300</v>
      </c>
      <c r="P79" s="7"/>
      <c r="Q79" s="11">
        <f>$M$36</f>
        <v>1500</v>
      </c>
      <c r="R79" s="52"/>
      <c r="S79" s="17" t="str">
        <f>$M$42</f>
        <v>48.3x3.2</v>
      </c>
      <c r="T79" s="7"/>
      <c r="U79" s="11">
        <f>$M$39</f>
        <v>300</v>
      </c>
      <c r="V79" s="7"/>
      <c r="W79" s="11">
        <f>$M$36</f>
        <v>1500</v>
      </c>
      <c r="X79" s="7"/>
      <c r="Y79" s="17" t="str">
        <f>$M$42</f>
        <v>48.3x3.2</v>
      </c>
      <c r="Z79" s="7"/>
      <c r="AA79" s="11">
        <f>$M$39</f>
        <v>300</v>
      </c>
      <c r="AB79" s="7"/>
      <c r="AC79" s="11">
        <f>$M$36</f>
        <v>1500</v>
      </c>
      <c r="AD79" s="16"/>
      <c r="AE79" s="17" t="str">
        <f>$M$42</f>
        <v>48.3x3.2</v>
      </c>
      <c r="AF79" s="7"/>
      <c r="AG79" s="11">
        <f>$M$39</f>
        <v>300</v>
      </c>
      <c r="AH79" s="7"/>
      <c r="AI79" s="11">
        <f>$M$36</f>
        <v>1500</v>
      </c>
      <c r="AJ79" s="16"/>
    </row>
    <row r="80" spans="1:36" x14ac:dyDescent="0.25">
      <c r="A80" s="11">
        <f>$M$43</f>
        <v>0</v>
      </c>
      <c r="B80" s="7"/>
      <c r="C80" s="11">
        <f>$M$40</f>
        <v>120</v>
      </c>
      <c r="D80" s="6"/>
      <c r="E80" s="11">
        <f>$M$37</f>
        <v>3500</v>
      </c>
      <c r="F80" s="16"/>
      <c r="G80" s="17">
        <f>$M$43</f>
        <v>0</v>
      </c>
      <c r="H80" s="7"/>
      <c r="I80" s="11">
        <f>$M$40</f>
        <v>120</v>
      </c>
      <c r="J80" s="7"/>
      <c r="K80" s="11">
        <f>$M$37</f>
        <v>3500</v>
      </c>
      <c r="L80" s="7"/>
      <c r="M80" s="17">
        <f>$M$43</f>
        <v>0</v>
      </c>
      <c r="N80" s="7"/>
      <c r="O80" s="11">
        <f>$M$40</f>
        <v>120</v>
      </c>
      <c r="P80" s="7"/>
      <c r="Q80" s="11">
        <f>$M$37</f>
        <v>3500</v>
      </c>
      <c r="R80" s="52"/>
      <c r="S80" s="17">
        <f>$M$43</f>
        <v>0</v>
      </c>
      <c r="T80" s="7"/>
      <c r="U80" s="11">
        <f>$M$40</f>
        <v>120</v>
      </c>
      <c r="V80" s="7"/>
      <c r="W80" s="11">
        <f>$M$37</f>
        <v>3500</v>
      </c>
      <c r="X80" s="7"/>
      <c r="Y80" s="17">
        <f>$M$43</f>
        <v>0</v>
      </c>
      <c r="Z80" s="7"/>
      <c r="AA80" s="11">
        <f>$M$40</f>
        <v>120</v>
      </c>
      <c r="AB80" s="7"/>
      <c r="AC80" s="11">
        <f>$M$37</f>
        <v>3500</v>
      </c>
      <c r="AD80" s="16"/>
      <c r="AE80" s="17">
        <f>$M$43</f>
        <v>0</v>
      </c>
      <c r="AF80" s="7"/>
      <c r="AG80" s="11">
        <f>$M$40</f>
        <v>120</v>
      </c>
      <c r="AH80" s="7"/>
      <c r="AI80" s="11">
        <f>$M$37</f>
        <v>3500</v>
      </c>
      <c r="AJ80" s="16"/>
    </row>
    <row r="81" spans="1:36" x14ac:dyDescent="0.25">
      <c r="A81" s="11">
        <f>$M$43</f>
        <v>0</v>
      </c>
      <c r="B81" s="7"/>
      <c r="C81" s="11" t="str">
        <f>$M$41</f>
        <v>P</v>
      </c>
      <c r="D81" s="6"/>
      <c r="E81" s="11">
        <f>$M$38</f>
        <v>300</v>
      </c>
      <c r="F81" s="16"/>
      <c r="G81" s="17">
        <f>$M$43</f>
        <v>0</v>
      </c>
      <c r="H81" s="7"/>
      <c r="I81" s="11" t="str">
        <f>$M$41</f>
        <v>P</v>
      </c>
      <c r="J81" s="7"/>
      <c r="K81" s="11">
        <f>$M$38</f>
        <v>300</v>
      </c>
      <c r="L81" s="7"/>
      <c r="M81" s="17">
        <f>$M$43</f>
        <v>0</v>
      </c>
      <c r="N81" s="7"/>
      <c r="O81" s="11" t="str">
        <f>$M$41</f>
        <v>P</v>
      </c>
      <c r="P81" s="7"/>
      <c r="Q81" s="11">
        <f>$M$38</f>
        <v>300</v>
      </c>
      <c r="R81" s="52"/>
      <c r="S81" s="17">
        <f>$M$43</f>
        <v>0</v>
      </c>
      <c r="T81" s="7"/>
      <c r="U81" s="11" t="str">
        <f>$M$41</f>
        <v>P</v>
      </c>
      <c r="V81" s="7"/>
      <c r="W81" s="11">
        <f>$M$38</f>
        <v>300</v>
      </c>
      <c r="X81" s="7"/>
      <c r="Y81" s="17">
        <f>$M$43</f>
        <v>0</v>
      </c>
      <c r="Z81" s="7"/>
      <c r="AA81" s="11" t="str">
        <f>$M$41</f>
        <v>P</v>
      </c>
      <c r="AB81" s="7"/>
      <c r="AC81" s="11">
        <f>$M$38</f>
        <v>300</v>
      </c>
      <c r="AD81" s="16"/>
      <c r="AE81" s="17">
        <f>$M$43</f>
        <v>0</v>
      </c>
      <c r="AF81" s="7"/>
      <c r="AG81" s="11" t="str">
        <f>$M$41</f>
        <v>P</v>
      </c>
      <c r="AH81" s="7"/>
      <c r="AI81" s="11">
        <f>$M$38</f>
        <v>300</v>
      </c>
      <c r="AJ81" s="16"/>
    </row>
    <row r="82" spans="1:36" x14ac:dyDescent="0.25">
      <c r="A82" s="11">
        <f>$M$44</f>
        <v>0</v>
      </c>
      <c r="B82" s="7"/>
      <c r="C82" s="11" t="str">
        <f>$M$42</f>
        <v>48.3x3.2</v>
      </c>
      <c r="D82" s="6"/>
      <c r="E82" s="11">
        <f>$M$39</f>
        <v>300</v>
      </c>
      <c r="F82" s="16"/>
      <c r="G82" s="17">
        <f>$M$44</f>
        <v>0</v>
      </c>
      <c r="H82" s="7"/>
      <c r="I82" s="11" t="str">
        <f>$M$42</f>
        <v>48.3x3.2</v>
      </c>
      <c r="J82" s="7"/>
      <c r="K82" s="11">
        <f>$M$39</f>
        <v>300</v>
      </c>
      <c r="L82" s="7"/>
      <c r="M82" s="17">
        <f>$M$44</f>
        <v>0</v>
      </c>
      <c r="N82" s="7"/>
      <c r="O82" s="11" t="str">
        <f>$M$42</f>
        <v>48.3x3.2</v>
      </c>
      <c r="P82" s="7"/>
      <c r="Q82" s="11">
        <f>$M$39</f>
        <v>300</v>
      </c>
      <c r="R82" s="52"/>
      <c r="S82" s="17">
        <f>$M$44</f>
        <v>0</v>
      </c>
      <c r="T82" s="7"/>
      <c r="U82" s="11" t="str">
        <f>$M$42</f>
        <v>48.3x3.2</v>
      </c>
      <c r="V82" s="7"/>
      <c r="W82" s="11">
        <f>$M$39</f>
        <v>300</v>
      </c>
      <c r="X82" s="7"/>
      <c r="Y82" s="17">
        <f>$M$44</f>
        <v>0</v>
      </c>
      <c r="Z82" s="7"/>
      <c r="AA82" s="11" t="str">
        <f>$M$42</f>
        <v>48.3x3.2</v>
      </c>
      <c r="AB82" s="7"/>
      <c r="AC82" s="11">
        <f>$M$39</f>
        <v>300</v>
      </c>
      <c r="AD82" s="16"/>
      <c r="AE82" s="17">
        <f>$M$44</f>
        <v>0</v>
      </c>
      <c r="AF82" s="7"/>
      <c r="AG82" s="11" t="str">
        <f>$M$42</f>
        <v>48.3x3.2</v>
      </c>
      <c r="AH82" s="7"/>
      <c r="AI82" s="11">
        <f>$M$39</f>
        <v>300</v>
      </c>
      <c r="AJ82" s="16"/>
    </row>
    <row r="83" spans="1:36" x14ac:dyDescent="0.25">
      <c r="A83" s="12">
        <f>$F$11</f>
        <v>1</v>
      </c>
      <c r="B83" s="7"/>
      <c r="C83" s="11">
        <f>$M$43</f>
        <v>0</v>
      </c>
      <c r="D83" s="6"/>
      <c r="E83" s="11">
        <f>$M$40</f>
        <v>120</v>
      </c>
      <c r="F83" s="16"/>
      <c r="G83" s="18">
        <f>$F$11</f>
        <v>1</v>
      </c>
      <c r="H83" s="7"/>
      <c r="I83" s="11">
        <f>$M$43</f>
        <v>0</v>
      </c>
      <c r="J83" s="7"/>
      <c r="K83" s="11">
        <f>$M$40</f>
        <v>120</v>
      </c>
      <c r="L83" s="7"/>
      <c r="M83" s="18">
        <f>$F$11</f>
        <v>1</v>
      </c>
      <c r="N83" s="7"/>
      <c r="O83" s="11">
        <f>$M$43</f>
        <v>0</v>
      </c>
      <c r="P83" s="7"/>
      <c r="Q83" s="11">
        <f>$M$40</f>
        <v>120</v>
      </c>
      <c r="R83" s="52"/>
      <c r="S83" s="18">
        <f>$F$11</f>
        <v>1</v>
      </c>
      <c r="T83" s="7"/>
      <c r="U83" s="11">
        <f>$M$43</f>
        <v>0</v>
      </c>
      <c r="V83" s="7"/>
      <c r="W83" s="11">
        <f>$M$40</f>
        <v>120</v>
      </c>
      <c r="X83" s="7"/>
      <c r="Y83" s="18">
        <f>$F$11</f>
        <v>1</v>
      </c>
      <c r="Z83" s="7"/>
      <c r="AA83" s="11">
        <f>$M$43</f>
        <v>0</v>
      </c>
      <c r="AB83" s="7"/>
      <c r="AC83" s="11">
        <f>$M$40</f>
        <v>120</v>
      </c>
      <c r="AD83" s="16"/>
      <c r="AE83" s="18">
        <f>$F$11</f>
        <v>1</v>
      </c>
      <c r="AF83" s="7"/>
      <c r="AG83" s="11">
        <f>$M$43</f>
        <v>0</v>
      </c>
      <c r="AH83" s="7"/>
      <c r="AI83" s="11">
        <f>$M$40</f>
        <v>120</v>
      </c>
      <c r="AJ83" s="16"/>
    </row>
    <row r="84" spans="1:36" x14ac:dyDescent="0.25">
      <c r="A84" s="12">
        <f>$F$12</f>
        <v>2500</v>
      </c>
      <c r="B84" s="7"/>
      <c r="C84" s="11">
        <f>$M$43</f>
        <v>0</v>
      </c>
      <c r="D84" s="6"/>
      <c r="E84" s="11" t="str">
        <f>$M$41</f>
        <v>P</v>
      </c>
      <c r="F84" s="16"/>
      <c r="G84" s="18">
        <f>$F$12</f>
        <v>2500</v>
      </c>
      <c r="H84" s="7"/>
      <c r="I84" s="11">
        <f>$M$43</f>
        <v>0</v>
      </c>
      <c r="J84" s="7"/>
      <c r="K84" s="11" t="str">
        <f>$M$41</f>
        <v>P</v>
      </c>
      <c r="L84" s="7"/>
      <c r="M84" s="18">
        <f>$F$12</f>
        <v>2500</v>
      </c>
      <c r="N84" s="7"/>
      <c r="O84" s="11">
        <f>$M$43</f>
        <v>0</v>
      </c>
      <c r="P84" s="7"/>
      <c r="Q84" s="11" t="str">
        <f>$M$41</f>
        <v>P</v>
      </c>
      <c r="R84" s="52"/>
      <c r="S84" s="18">
        <f>$F$12</f>
        <v>2500</v>
      </c>
      <c r="T84" s="7"/>
      <c r="U84" s="11">
        <f>$M$43</f>
        <v>0</v>
      </c>
      <c r="V84" s="7"/>
      <c r="W84" s="11" t="str">
        <f>$M$41</f>
        <v>P</v>
      </c>
      <c r="X84" s="7"/>
      <c r="Y84" s="18">
        <f>$F$12</f>
        <v>2500</v>
      </c>
      <c r="Z84" s="7"/>
      <c r="AA84" s="11">
        <f>$M$43</f>
        <v>0</v>
      </c>
      <c r="AB84" s="7"/>
      <c r="AC84" s="11" t="str">
        <f>$M$41</f>
        <v>P</v>
      </c>
      <c r="AD84" s="16"/>
      <c r="AE84" s="18">
        <f>$F$12</f>
        <v>2500</v>
      </c>
      <c r="AF84" s="7"/>
      <c r="AG84" s="11">
        <f>$M$43</f>
        <v>0</v>
      </c>
      <c r="AH84" s="7"/>
      <c r="AI84" s="11" t="str">
        <f>$M$41</f>
        <v>P</v>
      </c>
      <c r="AJ84" s="16"/>
    </row>
    <row r="85" spans="1:36" x14ac:dyDescent="0.25">
      <c r="A85" s="12">
        <f>$F$13</f>
        <v>4500</v>
      </c>
      <c r="B85" s="7"/>
      <c r="C85" s="11">
        <f>$M$44</f>
        <v>0</v>
      </c>
      <c r="D85" s="6"/>
      <c r="E85" s="11" t="str">
        <f>$M$42</f>
        <v>48.3x3.2</v>
      </c>
      <c r="F85" s="16"/>
      <c r="G85" s="18">
        <f>$F$13</f>
        <v>4500</v>
      </c>
      <c r="H85" s="7"/>
      <c r="I85" s="11">
        <f>$M$44</f>
        <v>0</v>
      </c>
      <c r="J85" s="7"/>
      <c r="K85" s="11" t="str">
        <f>$M$42</f>
        <v>48.3x3.2</v>
      </c>
      <c r="L85" s="7"/>
      <c r="M85" s="18">
        <f>$F$13</f>
        <v>4500</v>
      </c>
      <c r="N85" s="7"/>
      <c r="O85" s="11">
        <f>$M$44</f>
        <v>0</v>
      </c>
      <c r="P85" s="7"/>
      <c r="Q85" s="11" t="str">
        <f>$M$42</f>
        <v>48.3x3.2</v>
      </c>
      <c r="R85" s="52"/>
      <c r="S85" s="18">
        <f>$F$13</f>
        <v>4500</v>
      </c>
      <c r="T85" s="7"/>
      <c r="U85" s="11">
        <f>$M$44</f>
        <v>0</v>
      </c>
      <c r="V85" s="7"/>
      <c r="W85" s="11" t="str">
        <f>$M$42</f>
        <v>48.3x3.2</v>
      </c>
      <c r="X85" s="7"/>
      <c r="Y85" s="18">
        <f>$F$13</f>
        <v>4500</v>
      </c>
      <c r="Z85" s="7"/>
      <c r="AA85" s="11">
        <f>$M$44</f>
        <v>0</v>
      </c>
      <c r="AB85" s="7"/>
      <c r="AC85" s="11" t="str">
        <f>$M$42</f>
        <v>48.3x3.2</v>
      </c>
      <c r="AD85" s="16"/>
      <c r="AE85" s="18">
        <f>$F$13</f>
        <v>4500</v>
      </c>
      <c r="AF85" s="7"/>
      <c r="AG85" s="11">
        <f>$M$44</f>
        <v>0</v>
      </c>
      <c r="AH85" s="7"/>
      <c r="AI85" s="11" t="str">
        <f>$M$42</f>
        <v>48.3x3.2</v>
      </c>
      <c r="AJ85" s="16"/>
    </row>
    <row r="86" spans="1:36" x14ac:dyDescent="0.25">
      <c r="A86" s="12">
        <f>$F$14</f>
        <v>250</v>
      </c>
      <c r="B86" s="7"/>
      <c r="C86" s="12">
        <f>$F$11</f>
        <v>1</v>
      </c>
      <c r="D86" s="6"/>
      <c r="E86" s="11">
        <f>$M$43</f>
        <v>0</v>
      </c>
      <c r="F86" s="16"/>
      <c r="G86" s="18">
        <f>$F$14</f>
        <v>250</v>
      </c>
      <c r="H86" s="7"/>
      <c r="I86" s="12">
        <f>$F$11</f>
        <v>1</v>
      </c>
      <c r="J86" s="7"/>
      <c r="K86" s="11">
        <f>$M$43</f>
        <v>0</v>
      </c>
      <c r="L86" s="7"/>
      <c r="M86" s="18">
        <f>$F$14</f>
        <v>250</v>
      </c>
      <c r="N86" s="7"/>
      <c r="O86" s="12">
        <f>$F$11</f>
        <v>1</v>
      </c>
      <c r="P86" s="7"/>
      <c r="Q86" s="11">
        <f>$M$43</f>
        <v>0</v>
      </c>
      <c r="R86" s="52"/>
      <c r="S86" s="18">
        <f>$F$14</f>
        <v>250</v>
      </c>
      <c r="T86" s="7"/>
      <c r="U86" s="12">
        <f>$F$11</f>
        <v>1</v>
      </c>
      <c r="V86" s="7"/>
      <c r="W86" s="11">
        <f>$M$43</f>
        <v>0</v>
      </c>
      <c r="X86" s="7"/>
      <c r="Y86" s="18">
        <f>$F$14</f>
        <v>250</v>
      </c>
      <c r="Z86" s="7"/>
      <c r="AA86" s="12">
        <f>$F$11</f>
        <v>1</v>
      </c>
      <c r="AB86" s="7"/>
      <c r="AC86" s="11">
        <f>$M$43</f>
        <v>0</v>
      </c>
      <c r="AD86" s="16"/>
      <c r="AE86" s="18">
        <f>$F$14</f>
        <v>250</v>
      </c>
      <c r="AF86" s="7"/>
      <c r="AG86" s="12">
        <f>$F$11</f>
        <v>1</v>
      </c>
      <c r="AH86" s="7"/>
      <c r="AI86" s="11">
        <f>$M$43</f>
        <v>0</v>
      </c>
      <c r="AJ86" s="16"/>
    </row>
    <row r="87" spans="1:36" x14ac:dyDescent="0.25">
      <c r="A87" s="12">
        <f>$F$15</f>
        <v>250</v>
      </c>
      <c r="B87" s="7"/>
      <c r="C87" s="12">
        <f>$F$12</f>
        <v>2500</v>
      </c>
      <c r="D87" s="6"/>
      <c r="E87" s="11">
        <f>$M$43</f>
        <v>0</v>
      </c>
      <c r="F87" s="16"/>
      <c r="G87" s="18">
        <f>$F$15</f>
        <v>250</v>
      </c>
      <c r="H87" s="7"/>
      <c r="I87" s="12">
        <f>$F$12</f>
        <v>2500</v>
      </c>
      <c r="J87" s="7"/>
      <c r="K87" s="11">
        <f>$M$43</f>
        <v>0</v>
      </c>
      <c r="L87" s="7"/>
      <c r="M87" s="18">
        <f>$F$15</f>
        <v>250</v>
      </c>
      <c r="N87" s="7"/>
      <c r="O87" s="12">
        <f>$F$12</f>
        <v>2500</v>
      </c>
      <c r="P87" s="7"/>
      <c r="Q87" s="11">
        <f>$M$43</f>
        <v>0</v>
      </c>
      <c r="R87" s="52"/>
      <c r="S87" s="18">
        <f>$F$15</f>
        <v>250</v>
      </c>
      <c r="T87" s="7"/>
      <c r="U87" s="12">
        <f>$F$12</f>
        <v>2500</v>
      </c>
      <c r="V87" s="7"/>
      <c r="W87" s="11">
        <f>$M$43</f>
        <v>0</v>
      </c>
      <c r="X87" s="7"/>
      <c r="Y87" s="18">
        <f>$F$15</f>
        <v>250</v>
      </c>
      <c r="Z87" s="7"/>
      <c r="AA87" s="12">
        <f>$F$12</f>
        <v>2500</v>
      </c>
      <c r="AB87" s="7"/>
      <c r="AC87" s="11">
        <f>$M$43</f>
        <v>0</v>
      </c>
      <c r="AD87" s="16"/>
      <c r="AE87" s="18">
        <f>$F$15</f>
        <v>250</v>
      </c>
      <c r="AF87" s="7"/>
      <c r="AG87" s="12">
        <f>$F$12</f>
        <v>2500</v>
      </c>
      <c r="AH87" s="7"/>
      <c r="AI87" s="11">
        <f>$M$43</f>
        <v>0</v>
      </c>
      <c r="AJ87" s="16"/>
    </row>
    <row r="88" spans="1:36" x14ac:dyDescent="0.25">
      <c r="A88" s="12">
        <f>$F$16</f>
        <v>120</v>
      </c>
      <c r="B88" s="7"/>
      <c r="C88" s="12">
        <f>$F$13</f>
        <v>4500</v>
      </c>
      <c r="D88" s="6"/>
      <c r="E88" s="11">
        <f>$M$44</f>
        <v>0</v>
      </c>
      <c r="F88" s="16"/>
      <c r="G88" s="18">
        <f>$F$16</f>
        <v>120</v>
      </c>
      <c r="H88" s="7"/>
      <c r="I88" s="12">
        <f>$F$13</f>
        <v>4500</v>
      </c>
      <c r="J88" s="7"/>
      <c r="K88" s="11">
        <f>$M$44</f>
        <v>0</v>
      </c>
      <c r="L88" s="7"/>
      <c r="M88" s="18">
        <f>$F$16</f>
        <v>120</v>
      </c>
      <c r="N88" s="7"/>
      <c r="O88" s="12">
        <f>$F$13</f>
        <v>4500</v>
      </c>
      <c r="P88" s="7"/>
      <c r="Q88" s="11">
        <f>$M$44</f>
        <v>0</v>
      </c>
      <c r="R88" s="52"/>
      <c r="S88" s="18">
        <f>$F$16</f>
        <v>120</v>
      </c>
      <c r="T88" s="7"/>
      <c r="U88" s="12">
        <f>$F$13</f>
        <v>4500</v>
      </c>
      <c r="V88" s="7"/>
      <c r="W88" s="11">
        <f>$M$44</f>
        <v>0</v>
      </c>
      <c r="X88" s="7"/>
      <c r="Y88" s="18">
        <f>$F$16</f>
        <v>120</v>
      </c>
      <c r="Z88" s="7"/>
      <c r="AA88" s="12">
        <f>$F$13</f>
        <v>4500</v>
      </c>
      <c r="AB88" s="7"/>
      <c r="AC88" s="11">
        <f>$M$44</f>
        <v>0</v>
      </c>
      <c r="AD88" s="16"/>
      <c r="AE88" s="18">
        <f>$F$16</f>
        <v>120</v>
      </c>
      <c r="AF88" s="7"/>
      <c r="AG88" s="12">
        <f>$F$13</f>
        <v>4500</v>
      </c>
      <c r="AH88" s="7"/>
      <c r="AI88" s="11">
        <f>$M$44</f>
        <v>0</v>
      </c>
      <c r="AJ88" s="16"/>
    </row>
    <row r="89" spans="1:36" x14ac:dyDescent="0.25">
      <c r="A89" s="12">
        <f>$F$17</f>
        <v>20</v>
      </c>
      <c r="B89" s="7"/>
      <c r="C89" s="12">
        <f>$F$14</f>
        <v>250</v>
      </c>
      <c r="D89" s="6"/>
      <c r="E89" s="12">
        <f>$F$11</f>
        <v>1</v>
      </c>
      <c r="F89" s="16"/>
      <c r="G89" s="18">
        <f>$F$17</f>
        <v>20</v>
      </c>
      <c r="H89" s="7"/>
      <c r="I89" s="12">
        <f>$F$14</f>
        <v>250</v>
      </c>
      <c r="J89" s="7"/>
      <c r="K89" s="12">
        <f>$F$11</f>
        <v>1</v>
      </c>
      <c r="L89" s="7"/>
      <c r="M89" s="18">
        <f>$F$17</f>
        <v>20</v>
      </c>
      <c r="N89" s="7"/>
      <c r="O89" s="12">
        <f>$F$14</f>
        <v>250</v>
      </c>
      <c r="P89" s="7"/>
      <c r="Q89" s="12">
        <f>$F$11</f>
        <v>1</v>
      </c>
      <c r="R89" s="52"/>
      <c r="S89" s="18">
        <f>$F$17</f>
        <v>20</v>
      </c>
      <c r="T89" s="7"/>
      <c r="U89" s="12">
        <f>$F$14</f>
        <v>250</v>
      </c>
      <c r="V89" s="7"/>
      <c r="W89" s="12">
        <f>$F$11</f>
        <v>1</v>
      </c>
      <c r="X89" s="7"/>
      <c r="Y89" s="18">
        <f>$F$17</f>
        <v>20</v>
      </c>
      <c r="Z89" s="7"/>
      <c r="AA89" s="12">
        <f>$F$14</f>
        <v>250</v>
      </c>
      <c r="AB89" s="7"/>
      <c r="AC89" s="12">
        <f>$F$11</f>
        <v>1</v>
      </c>
      <c r="AD89" s="16"/>
      <c r="AE89" s="18">
        <f>$F$17</f>
        <v>20</v>
      </c>
      <c r="AF89" s="7"/>
      <c r="AG89" s="12">
        <f>$F$14</f>
        <v>250</v>
      </c>
      <c r="AH89" s="7"/>
      <c r="AI89" s="12">
        <f>$F$11</f>
        <v>1</v>
      </c>
      <c r="AJ89" s="16"/>
    </row>
    <row r="90" spans="1:36" x14ac:dyDescent="0.25">
      <c r="A90" s="12" t="str">
        <f>$F$18</f>
        <v>A</v>
      </c>
      <c r="B90" s="7"/>
      <c r="C90" s="12">
        <f>$F$15</f>
        <v>250</v>
      </c>
      <c r="D90" s="6"/>
      <c r="E90" s="12">
        <f>$F$12</f>
        <v>2500</v>
      </c>
      <c r="F90" s="16"/>
      <c r="G90" s="18" t="str">
        <f>$F$18</f>
        <v>A</v>
      </c>
      <c r="H90" s="7"/>
      <c r="I90" s="12">
        <f>$F$15</f>
        <v>250</v>
      </c>
      <c r="J90" s="7"/>
      <c r="K90" s="12">
        <f>$F$12</f>
        <v>2500</v>
      </c>
      <c r="L90" s="7"/>
      <c r="M90" s="18" t="str">
        <f>$F$18</f>
        <v>A</v>
      </c>
      <c r="N90" s="7"/>
      <c r="O90" s="12">
        <f>$F$15</f>
        <v>250</v>
      </c>
      <c r="P90" s="7"/>
      <c r="Q90" s="12">
        <f>$F$12</f>
        <v>2500</v>
      </c>
      <c r="R90" s="52"/>
      <c r="S90" s="18" t="str">
        <f>$F$18</f>
        <v>A</v>
      </c>
      <c r="T90" s="7"/>
      <c r="U90" s="12">
        <f>$F$15</f>
        <v>250</v>
      </c>
      <c r="V90" s="7"/>
      <c r="W90" s="12">
        <f>$F$12</f>
        <v>2500</v>
      </c>
      <c r="X90" s="7"/>
      <c r="Y90" s="18" t="str">
        <f>$F$18</f>
        <v>A</v>
      </c>
      <c r="Z90" s="7"/>
      <c r="AA90" s="12">
        <f>$F$15</f>
        <v>250</v>
      </c>
      <c r="AB90" s="7"/>
      <c r="AC90" s="12">
        <f>$F$12</f>
        <v>2500</v>
      </c>
      <c r="AD90" s="16"/>
      <c r="AE90" s="18" t="str">
        <f>$F$18</f>
        <v>A</v>
      </c>
      <c r="AF90" s="7"/>
      <c r="AG90" s="12">
        <f>$F$15</f>
        <v>250</v>
      </c>
      <c r="AH90" s="7"/>
      <c r="AI90" s="12">
        <f>$F$12</f>
        <v>2500</v>
      </c>
      <c r="AJ90" s="16"/>
    </row>
    <row r="91" spans="1:36" x14ac:dyDescent="0.25">
      <c r="A91" s="12">
        <f>$F$19</f>
        <v>655</v>
      </c>
      <c r="B91" s="7"/>
      <c r="C91" s="12">
        <f>$F$16</f>
        <v>120</v>
      </c>
      <c r="D91" s="6"/>
      <c r="E91" s="12">
        <f>$F$13</f>
        <v>4500</v>
      </c>
      <c r="F91" s="16"/>
      <c r="G91" s="18">
        <f>$F$19</f>
        <v>655</v>
      </c>
      <c r="H91" s="7"/>
      <c r="I91" s="12">
        <f>$F$16</f>
        <v>120</v>
      </c>
      <c r="J91" s="7"/>
      <c r="K91" s="12">
        <f>$F$13</f>
        <v>4500</v>
      </c>
      <c r="L91" s="7"/>
      <c r="M91" s="18">
        <f>$F$19</f>
        <v>655</v>
      </c>
      <c r="N91" s="7"/>
      <c r="O91" s="12">
        <f>$F$16</f>
        <v>120</v>
      </c>
      <c r="P91" s="7"/>
      <c r="Q91" s="12">
        <f>$F$13</f>
        <v>4500</v>
      </c>
      <c r="R91" s="52"/>
      <c r="S91" s="18">
        <f>$F$19</f>
        <v>655</v>
      </c>
      <c r="T91" s="7"/>
      <c r="U91" s="12">
        <f>$F$16</f>
        <v>120</v>
      </c>
      <c r="V91" s="7"/>
      <c r="W91" s="12">
        <f>$F$13</f>
        <v>4500</v>
      </c>
      <c r="X91" s="7"/>
      <c r="Y91" s="18">
        <f>$F$19</f>
        <v>655</v>
      </c>
      <c r="Z91" s="7"/>
      <c r="AA91" s="12">
        <f>$F$16</f>
        <v>120</v>
      </c>
      <c r="AB91" s="7"/>
      <c r="AC91" s="12">
        <f>$F$13</f>
        <v>4500</v>
      </c>
      <c r="AD91" s="16"/>
      <c r="AE91" s="18">
        <f>$F$19</f>
        <v>655</v>
      </c>
      <c r="AF91" s="7"/>
      <c r="AG91" s="12">
        <f>$F$16</f>
        <v>120</v>
      </c>
      <c r="AH91" s="7"/>
      <c r="AI91" s="12">
        <f>$F$13</f>
        <v>4500</v>
      </c>
      <c r="AJ91" s="16"/>
    </row>
    <row r="92" spans="1:36" x14ac:dyDescent="0.25">
      <c r="A92" s="12">
        <f>$R$7</f>
        <v>0</v>
      </c>
      <c r="B92" s="7"/>
      <c r="C92" s="12">
        <f>$F$17</f>
        <v>20</v>
      </c>
      <c r="D92" s="6"/>
      <c r="E92" s="12">
        <f>$F$14</f>
        <v>250</v>
      </c>
      <c r="F92" s="16"/>
      <c r="G92" s="18">
        <f>$R$7</f>
        <v>0</v>
      </c>
      <c r="H92" s="7"/>
      <c r="I92" s="12">
        <f>$F$17</f>
        <v>20</v>
      </c>
      <c r="J92" s="7"/>
      <c r="K92" s="12">
        <f>$F$14</f>
        <v>250</v>
      </c>
      <c r="L92" s="7"/>
      <c r="M92" s="18">
        <f>$R$7</f>
        <v>0</v>
      </c>
      <c r="N92" s="7"/>
      <c r="O92" s="12">
        <f>$F$17</f>
        <v>20</v>
      </c>
      <c r="P92" s="7"/>
      <c r="Q92" s="12">
        <f>$F$14</f>
        <v>250</v>
      </c>
      <c r="R92" s="52"/>
      <c r="S92" s="18">
        <f>$R$7</f>
        <v>0</v>
      </c>
      <c r="T92" s="7"/>
      <c r="U92" s="12">
        <f>$F$17</f>
        <v>20</v>
      </c>
      <c r="V92" s="7"/>
      <c r="W92" s="12">
        <f>$F$14</f>
        <v>250</v>
      </c>
      <c r="X92" s="7"/>
      <c r="Y92" s="18">
        <f>$R$7</f>
        <v>0</v>
      </c>
      <c r="Z92" s="7"/>
      <c r="AA92" s="12">
        <f>$F$17</f>
        <v>20</v>
      </c>
      <c r="AB92" s="7"/>
      <c r="AC92" s="12">
        <f>$F$14</f>
        <v>250</v>
      </c>
      <c r="AD92" s="16"/>
      <c r="AE92" s="18">
        <f>$R$7</f>
        <v>0</v>
      </c>
      <c r="AF92" s="7"/>
      <c r="AG92" s="12">
        <f>$F$17</f>
        <v>20</v>
      </c>
      <c r="AH92" s="7"/>
      <c r="AI92" s="12">
        <f>$F$14</f>
        <v>250</v>
      </c>
      <c r="AJ92" s="16"/>
    </row>
    <row r="93" spans="1:36" x14ac:dyDescent="0.25">
      <c r="A93" s="12">
        <f>$L$7</f>
        <v>0</v>
      </c>
      <c r="B93" s="7"/>
      <c r="C93" s="12" t="str">
        <f>$F$18</f>
        <v>A</v>
      </c>
      <c r="D93" s="6"/>
      <c r="E93" s="12">
        <f>$F$15</f>
        <v>250</v>
      </c>
      <c r="F93" s="16"/>
      <c r="G93" s="18">
        <f>$L$7</f>
        <v>0</v>
      </c>
      <c r="H93" s="7"/>
      <c r="I93" s="12" t="str">
        <f>$F$18</f>
        <v>A</v>
      </c>
      <c r="J93" s="7"/>
      <c r="K93" s="12">
        <f>$F$15</f>
        <v>250</v>
      </c>
      <c r="L93" s="7"/>
      <c r="M93" s="18">
        <f>$R$8</f>
        <v>1500</v>
      </c>
      <c r="N93" s="7"/>
      <c r="O93" s="12" t="str">
        <f>$F$18</f>
        <v>A</v>
      </c>
      <c r="P93" s="7"/>
      <c r="Q93" s="12">
        <f>$F$15</f>
        <v>250</v>
      </c>
      <c r="R93" s="52"/>
      <c r="S93" s="18">
        <f>$L$7</f>
        <v>0</v>
      </c>
      <c r="T93" s="7"/>
      <c r="U93" s="12" t="str">
        <f>$F$18</f>
        <v>A</v>
      </c>
      <c r="V93" s="7"/>
      <c r="W93" s="12">
        <f>$F$15</f>
        <v>250</v>
      </c>
      <c r="X93" s="7"/>
      <c r="Y93" s="18">
        <f>$R$8</f>
        <v>1500</v>
      </c>
      <c r="Z93" s="7"/>
      <c r="AA93" s="12" t="str">
        <f>$F$18</f>
        <v>A</v>
      </c>
      <c r="AB93" s="7"/>
      <c r="AC93" s="12">
        <f>$F$15</f>
        <v>250</v>
      </c>
      <c r="AD93" s="16"/>
      <c r="AE93" s="18">
        <f>$R$8</f>
        <v>1500</v>
      </c>
      <c r="AF93" s="7"/>
      <c r="AG93" s="12" t="str">
        <f>$F$18</f>
        <v>A</v>
      </c>
      <c r="AH93" s="7"/>
      <c r="AI93" s="12">
        <f>$F$15</f>
        <v>250</v>
      </c>
      <c r="AJ93" s="16"/>
    </row>
    <row r="94" spans="1:36" x14ac:dyDescent="0.25">
      <c r="A94" s="12">
        <f>$L$7</f>
        <v>0</v>
      </c>
      <c r="B94" s="7"/>
      <c r="C94" s="12">
        <f>$F$19</f>
        <v>655</v>
      </c>
      <c r="D94" s="6"/>
      <c r="E94" s="12">
        <f>$F$16</f>
        <v>120</v>
      </c>
      <c r="F94" s="16"/>
      <c r="G94" s="18">
        <f>$L$7</f>
        <v>0</v>
      </c>
      <c r="H94" s="7"/>
      <c r="I94" s="12">
        <f>$F$19</f>
        <v>655</v>
      </c>
      <c r="J94" s="7"/>
      <c r="K94" s="12">
        <f>$F$16</f>
        <v>120</v>
      </c>
      <c r="L94" s="7"/>
      <c r="M94" s="18" t="str">
        <f>$R$10</f>
        <v>A</v>
      </c>
      <c r="N94" s="7"/>
      <c r="O94" s="12">
        <f>$F$19</f>
        <v>655</v>
      </c>
      <c r="P94" s="7"/>
      <c r="Q94" s="12">
        <f>$F$16</f>
        <v>120</v>
      </c>
      <c r="R94" s="52"/>
      <c r="S94" s="18">
        <f>$L$7</f>
        <v>0</v>
      </c>
      <c r="T94" s="7"/>
      <c r="U94" s="12">
        <f>$F$19</f>
        <v>655</v>
      </c>
      <c r="V94" s="7"/>
      <c r="W94" s="12">
        <f>$F$16</f>
        <v>120</v>
      </c>
      <c r="X94" s="7"/>
      <c r="Y94" s="18" t="str">
        <f>$R$10</f>
        <v>A</v>
      </c>
      <c r="Z94" s="7"/>
      <c r="AA94" s="12">
        <f>$F$19</f>
        <v>655</v>
      </c>
      <c r="AB94" s="7"/>
      <c r="AC94" s="12">
        <f>$F$16</f>
        <v>120</v>
      </c>
      <c r="AD94" s="16"/>
      <c r="AE94" s="18" t="str">
        <f>$R$10</f>
        <v>A</v>
      </c>
      <c r="AF94" s="7"/>
      <c r="AG94" s="12">
        <f>$F$19</f>
        <v>655</v>
      </c>
      <c r="AH94" s="7"/>
      <c r="AI94" s="12">
        <f>$F$16</f>
        <v>120</v>
      </c>
      <c r="AJ94" s="16"/>
    </row>
    <row r="95" spans="1:36" x14ac:dyDescent="0.25">
      <c r="B95" s="7"/>
      <c r="C95" s="12">
        <f>$R$7</f>
        <v>0</v>
      </c>
      <c r="D95" s="6"/>
      <c r="E95" s="12">
        <f>$F$17</f>
        <v>20</v>
      </c>
      <c r="F95" s="16"/>
      <c r="G95" s="18">
        <f>$L$8</f>
        <v>1500</v>
      </c>
      <c r="H95" s="7"/>
      <c r="I95" s="12">
        <f>$R$7</f>
        <v>0</v>
      </c>
      <c r="J95" s="7"/>
      <c r="K95" s="12">
        <f>$F$17</f>
        <v>20</v>
      </c>
      <c r="L95" s="7"/>
      <c r="M95" s="18">
        <f>$R$11</f>
        <v>455</v>
      </c>
      <c r="N95" s="7"/>
      <c r="O95" s="12">
        <f>$R$7</f>
        <v>0</v>
      </c>
      <c r="P95" s="7"/>
      <c r="Q95" s="12">
        <f>$F$17</f>
        <v>20</v>
      </c>
      <c r="R95" s="52"/>
      <c r="S95" s="18">
        <f>$L$8</f>
        <v>1500</v>
      </c>
      <c r="T95" s="7"/>
      <c r="U95" s="12">
        <f>$R$7</f>
        <v>0</v>
      </c>
      <c r="V95" s="7"/>
      <c r="W95" s="12">
        <f>$F$17</f>
        <v>20</v>
      </c>
      <c r="X95" s="7"/>
      <c r="Y95" s="18">
        <f>$R$11</f>
        <v>455</v>
      </c>
      <c r="Z95" s="7"/>
      <c r="AA95" s="12">
        <f>$R$7</f>
        <v>0</v>
      </c>
      <c r="AB95" s="7"/>
      <c r="AC95" s="12">
        <f>$F$17</f>
        <v>20</v>
      </c>
      <c r="AD95" s="16"/>
      <c r="AE95" s="18">
        <f>$R$11</f>
        <v>455</v>
      </c>
      <c r="AF95" s="7"/>
      <c r="AG95" s="12">
        <f>$R$7</f>
        <v>0</v>
      </c>
      <c r="AH95" s="7"/>
      <c r="AI95" s="12">
        <f>$F$17</f>
        <v>20</v>
      </c>
      <c r="AJ95" s="16"/>
    </row>
    <row r="96" spans="1:36" x14ac:dyDescent="0.25">
      <c r="B96" s="7"/>
      <c r="C96" s="12">
        <f>$L$7</f>
        <v>0</v>
      </c>
      <c r="D96" s="6"/>
      <c r="E96" s="12" t="str">
        <f>$F$18</f>
        <v>A</v>
      </c>
      <c r="F96" s="16"/>
      <c r="G96" s="18">
        <f>$L$8</f>
        <v>1500</v>
      </c>
      <c r="H96" s="7"/>
      <c r="I96" s="12">
        <f>$L$7</f>
        <v>0</v>
      </c>
      <c r="J96" s="7"/>
      <c r="K96" s="12" t="str">
        <f>$F$18</f>
        <v>A</v>
      </c>
      <c r="L96" s="7"/>
      <c r="M96" s="18">
        <f>$L$7</f>
        <v>0</v>
      </c>
      <c r="N96" s="7"/>
      <c r="O96" s="12">
        <f>$R$8</f>
        <v>1500</v>
      </c>
      <c r="P96" s="7"/>
      <c r="Q96" s="12" t="str">
        <f>$F$18</f>
        <v>A</v>
      </c>
      <c r="R96" s="52"/>
      <c r="S96" s="18">
        <f>$L$8</f>
        <v>1500</v>
      </c>
      <c r="T96" s="7"/>
      <c r="U96" s="12">
        <f>$L$7</f>
        <v>0</v>
      </c>
      <c r="V96" s="7"/>
      <c r="W96" s="12" t="str">
        <f>$F$18</f>
        <v>A</v>
      </c>
      <c r="X96" s="7"/>
      <c r="Y96" s="18">
        <f>$R$13</f>
        <v>2500</v>
      </c>
      <c r="Z96" s="7"/>
      <c r="AA96" s="12">
        <f>$R$8</f>
        <v>1500</v>
      </c>
      <c r="AB96" s="7"/>
      <c r="AC96" s="12" t="str">
        <f>$F$18</f>
        <v>A</v>
      </c>
      <c r="AD96" s="16"/>
      <c r="AE96" s="18">
        <f>$R$13</f>
        <v>2500</v>
      </c>
      <c r="AF96" s="7"/>
      <c r="AG96" s="12">
        <f>$R$8</f>
        <v>1500</v>
      </c>
      <c r="AH96" s="7"/>
      <c r="AI96" s="12" t="str">
        <f>$F$18</f>
        <v>A</v>
      </c>
      <c r="AJ96" s="16"/>
    </row>
    <row r="97" spans="2:36" x14ac:dyDescent="0.25">
      <c r="B97" s="7"/>
      <c r="C97" s="12">
        <f>$L$7</f>
        <v>0</v>
      </c>
      <c r="D97" s="6"/>
      <c r="E97" s="12">
        <f>$F$19</f>
        <v>655</v>
      </c>
      <c r="F97" s="16"/>
      <c r="G97" s="18" t="str">
        <f>$L$10</f>
        <v>A</v>
      </c>
      <c r="H97" s="7"/>
      <c r="I97" s="12">
        <f>$L$7</f>
        <v>0</v>
      </c>
      <c r="J97" s="7"/>
      <c r="K97" s="12">
        <f>$F$19</f>
        <v>655</v>
      </c>
      <c r="L97" s="7"/>
      <c r="M97" s="18">
        <f>$L$7</f>
        <v>0</v>
      </c>
      <c r="N97" s="7"/>
      <c r="O97" s="12" t="str">
        <f>$R$10</f>
        <v>A</v>
      </c>
      <c r="P97" s="7"/>
      <c r="Q97" s="12">
        <f>$F$19</f>
        <v>655</v>
      </c>
      <c r="R97" s="52"/>
      <c r="S97" s="18" t="str">
        <f>$L$10</f>
        <v>A</v>
      </c>
      <c r="T97" s="7"/>
      <c r="U97" s="12">
        <f>$L$7</f>
        <v>0</v>
      </c>
      <c r="V97" s="7"/>
      <c r="W97" s="12">
        <f>$F$19</f>
        <v>655</v>
      </c>
      <c r="X97" s="7"/>
      <c r="Y97" s="18" t="str">
        <f>$R$15</f>
        <v>A</v>
      </c>
      <c r="Z97" s="7"/>
      <c r="AA97" s="12" t="str">
        <f>$R$10</f>
        <v>A</v>
      </c>
      <c r="AB97" s="7"/>
      <c r="AC97" s="12">
        <f>$F$19</f>
        <v>655</v>
      </c>
      <c r="AD97" s="16"/>
      <c r="AE97" s="18" t="str">
        <f>$R$15</f>
        <v>A</v>
      </c>
      <c r="AF97" s="7"/>
      <c r="AG97" s="12" t="str">
        <f>$R$10</f>
        <v>A</v>
      </c>
      <c r="AH97" s="7"/>
      <c r="AI97" s="12">
        <f>$F$19</f>
        <v>655</v>
      </c>
      <c r="AJ97" s="16"/>
    </row>
    <row r="98" spans="2:36" x14ac:dyDescent="0.25">
      <c r="B98" s="7"/>
      <c r="C98" s="7"/>
      <c r="D98" s="7"/>
      <c r="E98" s="12">
        <f>$R$7</f>
        <v>0</v>
      </c>
      <c r="F98" s="16"/>
      <c r="G98" s="18">
        <f>$L$11</f>
        <v>455</v>
      </c>
      <c r="H98" s="7"/>
      <c r="I98" s="12">
        <f>$L$8</f>
        <v>1500</v>
      </c>
      <c r="J98" s="7"/>
      <c r="K98" s="12">
        <f>$R$7</f>
        <v>0</v>
      </c>
      <c r="L98" s="7"/>
      <c r="M98" s="18">
        <f>$L$8</f>
        <v>1500</v>
      </c>
      <c r="N98" s="7"/>
      <c r="O98" s="12">
        <f>$R$11</f>
        <v>455</v>
      </c>
      <c r="P98" s="7"/>
      <c r="Q98" s="12">
        <f>$R$7</f>
        <v>0</v>
      </c>
      <c r="R98" s="52"/>
      <c r="S98" s="18">
        <f>$L$11</f>
        <v>455</v>
      </c>
      <c r="T98" s="7"/>
      <c r="U98" s="12">
        <f>$L$8</f>
        <v>1500</v>
      </c>
      <c r="V98" s="7"/>
      <c r="W98" s="12">
        <f>$R$7</f>
        <v>0</v>
      </c>
      <c r="X98" s="7"/>
      <c r="Y98" s="18">
        <f>$R$16</f>
        <v>455</v>
      </c>
      <c r="Z98" s="7"/>
      <c r="AA98" s="12">
        <f>$R$11</f>
        <v>455</v>
      </c>
      <c r="AB98" s="7"/>
      <c r="AC98" s="12">
        <f>$R$7</f>
        <v>0</v>
      </c>
      <c r="AD98" s="16"/>
      <c r="AE98" s="18">
        <f>$R$16</f>
        <v>455</v>
      </c>
      <c r="AF98" s="7"/>
      <c r="AG98" s="12">
        <f>$R$11</f>
        <v>455</v>
      </c>
      <c r="AH98" s="7"/>
      <c r="AI98" s="12">
        <f>$R$7</f>
        <v>0</v>
      </c>
      <c r="AJ98" s="16"/>
    </row>
    <row r="99" spans="2:36" x14ac:dyDescent="0.25">
      <c r="B99" s="7"/>
      <c r="C99" s="7"/>
      <c r="D99" s="7"/>
      <c r="E99" s="12">
        <f>$L$7</f>
        <v>0</v>
      </c>
      <c r="F99" s="16"/>
      <c r="G99" s="19"/>
      <c r="H99" s="7"/>
      <c r="I99" s="12">
        <f>$L$8</f>
        <v>1500</v>
      </c>
      <c r="J99" s="7"/>
      <c r="K99" s="12">
        <f>$L$7</f>
        <v>0</v>
      </c>
      <c r="L99" s="7"/>
      <c r="M99" s="18">
        <f>$L$8</f>
        <v>1500</v>
      </c>
      <c r="N99" s="7"/>
      <c r="O99" s="12">
        <f>$L$7</f>
        <v>0</v>
      </c>
      <c r="P99" s="7"/>
      <c r="Q99" s="12">
        <f>$R$8</f>
        <v>1500</v>
      </c>
      <c r="R99" s="52"/>
      <c r="S99" s="18">
        <f>$L$13</f>
        <v>2500</v>
      </c>
      <c r="T99" s="7"/>
      <c r="U99" s="12">
        <f>$L$8</f>
        <v>1500</v>
      </c>
      <c r="V99" s="7"/>
      <c r="W99" s="12">
        <f>$L$7</f>
        <v>0</v>
      </c>
      <c r="X99" s="7"/>
      <c r="Y99" s="18">
        <f>$L$7</f>
        <v>0</v>
      </c>
      <c r="Z99" s="7"/>
      <c r="AA99" s="12">
        <f>$R$13</f>
        <v>2500</v>
      </c>
      <c r="AB99" s="7"/>
      <c r="AC99" s="12">
        <f>$R$8</f>
        <v>1500</v>
      </c>
      <c r="AD99" s="16"/>
      <c r="AE99" s="18">
        <f>$L$7</f>
        <v>0</v>
      </c>
      <c r="AF99" s="7"/>
      <c r="AG99" s="12">
        <f>$R$13</f>
        <v>2500</v>
      </c>
      <c r="AH99" s="7"/>
      <c r="AI99" s="12">
        <f>$R$8</f>
        <v>1500</v>
      </c>
      <c r="AJ99" s="16"/>
    </row>
    <row r="100" spans="2:36" ht="15.75" thickBot="1" x14ac:dyDescent="0.3">
      <c r="B100" s="21"/>
      <c r="C100" s="21"/>
      <c r="D100" s="21"/>
      <c r="E100" s="22">
        <f>$L$7</f>
        <v>0</v>
      </c>
      <c r="F100" s="23"/>
      <c r="G100" s="19"/>
      <c r="H100" s="7"/>
      <c r="I100" s="12" t="str">
        <f>$L$10</f>
        <v>A</v>
      </c>
      <c r="J100" s="7"/>
      <c r="K100" s="12">
        <f>$L$7</f>
        <v>0</v>
      </c>
      <c r="L100" s="7"/>
      <c r="M100" s="18" t="str">
        <f>$L$10</f>
        <v>A</v>
      </c>
      <c r="N100" s="7"/>
      <c r="O100" s="12">
        <f>$L$7</f>
        <v>0</v>
      </c>
      <c r="P100" s="7"/>
      <c r="Q100" s="12" t="str">
        <f>$R$10</f>
        <v>A</v>
      </c>
      <c r="R100" s="52"/>
      <c r="S100" s="18">
        <f>$L$13</f>
        <v>2500</v>
      </c>
      <c r="T100" s="7"/>
      <c r="U100" s="12" t="str">
        <f>$L$10</f>
        <v>A</v>
      </c>
      <c r="V100" s="7"/>
      <c r="W100" s="12">
        <f>$L$7</f>
        <v>0</v>
      </c>
      <c r="X100" s="7"/>
      <c r="Y100" s="18">
        <f>$L$7</f>
        <v>0</v>
      </c>
      <c r="Z100" s="7"/>
      <c r="AA100" s="12" t="str">
        <f>$R$15</f>
        <v>A</v>
      </c>
      <c r="AB100" s="7"/>
      <c r="AC100" s="12" t="str">
        <f>$R$10</f>
        <v>A</v>
      </c>
      <c r="AD100" s="16"/>
      <c r="AE100" s="18">
        <f>$L$7</f>
        <v>0</v>
      </c>
      <c r="AF100" s="7"/>
      <c r="AG100" s="12" t="str">
        <f>$R$15</f>
        <v>A</v>
      </c>
      <c r="AH100" s="7"/>
      <c r="AI100" s="12" t="str">
        <f>$R$10</f>
        <v>A</v>
      </c>
      <c r="AJ100" s="16"/>
    </row>
    <row r="101" spans="2:36" ht="15.75" thickBot="1" x14ac:dyDescent="0.3">
      <c r="G101" s="19"/>
      <c r="H101" s="7"/>
      <c r="I101" s="12">
        <f>$L$11</f>
        <v>455</v>
      </c>
      <c r="J101" s="7"/>
      <c r="K101" s="12">
        <f>$L$8</f>
        <v>1500</v>
      </c>
      <c r="L101" s="7"/>
      <c r="M101" s="24">
        <f>$L$11</f>
        <v>455</v>
      </c>
      <c r="N101" s="7"/>
      <c r="O101" s="12">
        <f>$L$8</f>
        <v>1500</v>
      </c>
      <c r="P101" s="7"/>
      <c r="Q101" s="12">
        <f>$R$11</f>
        <v>455</v>
      </c>
      <c r="R101" s="52"/>
      <c r="S101" s="18" t="str">
        <f>$L$15</f>
        <v>A</v>
      </c>
      <c r="T101" s="7"/>
      <c r="U101" s="12">
        <f>$L$11</f>
        <v>455</v>
      </c>
      <c r="V101" s="7"/>
      <c r="W101" s="12">
        <f>$L$8</f>
        <v>1500</v>
      </c>
      <c r="X101" s="7"/>
      <c r="Y101" s="18">
        <f>$L$8</f>
        <v>1500</v>
      </c>
      <c r="Z101" s="7"/>
      <c r="AA101" s="12">
        <f>$R$16</f>
        <v>455</v>
      </c>
      <c r="AB101" s="7"/>
      <c r="AC101" s="12">
        <f>$R$11</f>
        <v>455</v>
      </c>
      <c r="AD101" s="16"/>
      <c r="AE101" s="18">
        <f>$L$8</f>
        <v>1500</v>
      </c>
      <c r="AF101" s="7"/>
      <c r="AG101" s="12">
        <f>$R$16</f>
        <v>455</v>
      </c>
      <c r="AH101" s="7"/>
      <c r="AI101" s="12">
        <f>$R$11</f>
        <v>455</v>
      </c>
      <c r="AJ101" s="16"/>
    </row>
    <row r="102" spans="2:36" x14ac:dyDescent="0.25">
      <c r="G102" s="19"/>
      <c r="H102" s="7"/>
      <c r="I102" s="7"/>
      <c r="J102" s="7"/>
      <c r="K102" s="12">
        <f>$L$8</f>
        <v>1500</v>
      </c>
      <c r="L102" s="7"/>
      <c r="M102" s="19"/>
      <c r="N102" s="7"/>
      <c r="O102" s="12">
        <f>$L$8</f>
        <v>1500</v>
      </c>
      <c r="P102" s="7"/>
      <c r="Q102" s="12">
        <f>$L$7</f>
        <v>0</v>
      </c>
      <c r="R102" s="52"/>
      <c r="S102" s="18">
        <f>$L$16</f>
        <v>455</v>
      </c>
      <c r="T102" s="7"/>
      <c r="U102" s="18">
        <f>$L$13</f>
        <v>2500</v>
      </c>
      <c r="V102" s="7"/>
      <c r="W102" s="12">
        <f>$L$8</f>
        <v>1500</v>
      </c>
      <c r="X102" s="7"/>
      <c r="Y102" s="18">
        <f>$L$8</f>
        <v>1500</v>
      </c>
      <c r="Z102" s="7"/>
      <c r="AA102" s="12">
        <f>$L$7</f>
        <v>0</v>
      </c>
      <c r="AB102" s="7"/>
      <c r="AC102" s="12">
        <f>$R$13</f>
        <v>2500</v>
      </c>
      <c r="AD102" s="16"/>
      <c r="AE102" s="18">
        <f>$L$8</f>
        <v>1500</v>
      </c>
      <c r="AF102" s="7"/>
      <c r="AG102" s="12">
        <f>$L$7</f>
        <v>0</v>
      </c>
      <c r="AH102" s="7"/>
      <c r="AI102" s="12">
        <f>$R$13</f>
        <v>2500</v>
      </c>
      <c r="AJ102" s="16"/>
    </row>
    <row r="103" spans="2:36" x14ac:dyDescent="0.25">
      <c r="G103" s="19"/>
      <c r="H103" s="7"/>
      <c r="I103" s="7"/>
      <c r="J103" s="7"/>
      <c r="K103" s="12" t="str">
        <f>$L$10</f>
        <v>A</v>
      </c>
      <c r="L103" s="7"/>
      <c r="M103" s="19"/>
      <c r="N103" s="7"/>
      <c r="O103" s="12" t="str">
        <f>$L$10</f>
        <v>A</v>
      </c>
      <c r="P103" s="7"/>
      <c r="Q103" s="12">
        <f>$L$7</f>
        <v>0</v>
      </c>
      <c r="R103" s="52"/>
      <c r="S103" s="19"/>
      <c r="T103" s="7"/>
      <c r="U103" s="18">
        <f>$L$13</f>
        <v>2500</v>
      </c>
      <c r="V103" s="7"/>
      <c r="W103" s="12" t="str">
        <f>$L$10</f>
        <v>A</v>
      </c>
      <c r="X103" s="7"/>
      <c r="Y103" s="18" t="str">
        <f>$L$10</f>
        <v>A</v>
      </c>
      <c r="Z103" s="7"/>
      <c r="AA103" s="12">
        <f>$L$7</f>
        <v>0</v>
      </c>
      <c r="AB103" s="7"/>
      <c r="AC103" s="12" t="str">
        <f>$R$15</f>
        <v>A</v>
      </c>
      <c r="AD103" s="16"/>
      <c r="AE103" s="18" t="str">
        <f>$L$10</f>
        <v>A</v>
      </c>
      <c r="AF103" s="7"/>
      <c r="AG103" s="12">
        <f>$L$7</f>
        <v>0</v>
      </c>
      <c r="AH103" s="7"/>
      <c r="AI103" s="12" t="str">
        <f>$R$15</f>
        <v>A</v>
      </c>
      <c r="AJ103" s="16"/>
    </row>
    <row r="104" spans="2:36" ht="15.75" thickBot="1" x14ac:dyDescent="0.3">
      <c r="G104" s="20"/>
      <c r="H104" s="21"/>
      <c r="I104" s="21"/>
      <c r="J104" s="21"/>
      <c r="K104" s="22">
        <f>$L$11</f>
        <v>455</v>
      </c>
      <c r="L104" s="21"/>
      <c r="M104" s="19"/>
      <c r="N104" s="7"/>
      <c r="O104" s="22">
        <f>$L$11</f>
        <v>455</v>
      </c>
      <c r="P104" s="7"/>
      <c r="Q104" s="12">
        <f>$L$8</f>
        <v>1500</v>
      </c>
      <c r="R104" s="52"/>
      <c r="S104" s="19"/>
      <c r="T104" s="7"/>
      <c r="U104" s="18" t="str">
        <f>$L$15</f>
        <v>A</v>
      </c>
      <c r="V104" s="7"/>
      <c r="W104" s="12">
        <f>$L$11</f>
        <v>455</v>
      </c>
      <c r="X104" s="7"/>
      <c r="Y104" s="18">
        <f>$L$11</f>
        <v>455</v>
      </c>
      <c r="Z104" s="7"/>
      <c r="AA104" s="12">
        <f>$L$8</f>
        <v>1500</v>
      </c>
      <c r="AB104" s="7"/>
      <c r="AC104" s="12">
        <f>$R$16</f>
        <v>455</v>
      </c>
      <c r="AD104" s="16"/>
      <c r="AE104" s="18">
        <f>$L$11</f>
        <v>455</v>
      </c>
      <c r="AF104" s="7"/>
      <c r="AG104" s="12">
        <f>$L$8</f>
        <v>1500</v>
      </c>
      <c r="AH104" s="7"/>
      <c r="AI104" s="12">
        <f>$R$16</f>
        <v>455</v>
      </c>
      <c r="AJ104" s="16"/>
    </row>
    <row r="105" spans="2:36" x14ac:dyDescent="0.25">
      <c r="M105" s="19"/>
      <c r="N105" s="7"/>
      <c r="O105" s="7"/>
      <c r="P105" s="7"/>
      <c r="Q105" s="12">
        <f>$L$8</f>
        <v>1500</v>
      </c>
      <c r="R105" s="52"/>
      <c r="S105" s="19"/>
      <c r="T105" s="7"/>
      <c r="U105" s="18">
        <f>$L$16</f>
        <v>455</v>
      </c>
      <c r="V105" s="7"/>
      <c r="W105" s="18">
        <f>$L$13</f>
        <v>2500</v>
      </c>
      <c r="X105" s="7"/>
      <c r="Y105" s="18">
        <f>$L$13</f>
        <v>2500</v>
      </c>
      <c r="Z105" s="7"/>
      <c r="AA105" s="12">
        <f>$L$8</f>
        <v>1500</v>
      </c>
      <c r="AB105" s="7"/>
      <c r="AC105" s="12">
        <f>$L$7</f>
        <v>0</v>
      </c>
      <c r="AD105" s="16"/>
      <c r="AE105" s="18">
        <f>$L$13</f>
        <v>2500</v>
      </c>
      <c r="AF105" s="7"/>
      <c r="AG105" s="12">
        <f>$L$8</f>
        <v>1500</v>
      </c>
      <c r="AH105" s="7"/>
      <c r="AI105" s="12">
        <f>$L$7</f>
        <v>0</v>
      </c>
      <c r="AJ105" s="16"/>
    </row>
    <row r="106" spans="2:36" x14ac:dyDescent="0.25">
      <c r="M106" s="19"/>
      <c r="N106" s="7"/>
      <c r="O106" s="7"/>
      <c r="P106" s="7"/>
      <c r="Q106" s="12" t="str">
        <f>$L$10</f>
        <v>A</v>
      </c>
      <c r="R106" s="52"/>
      <c r="S106" s="19"/>
      <c r="T106" s="7"/>
      <c r="U106" s="7"/>
      <c r="V106" s="7"/>
      <c r="W106" s="18">
        <f>$L$13</f>
        <v>2500</v>
      </c>
      <c r="X106" s="7"/>
      <c r="Y106" s="18">
        <f>$L$13</f>
        <v>2500</v>
      </c>
      <c r="Z106" s="7"/>
      <c r="AA106" s="12" t="str">
        <f>$L$10</f>
        <v>A</v>
      </c>
      <c r="AB106" s="7"/>
      <c r="AC106" s="12">
        <f>$L$7</f>
        <v>0</v>
      </c>
      <c r="AD106" s="16"/>
      <c r="AE106" s="18">
        <f>$L$13</f>
        <v>2500</v>
      </c>
      <c r="AF106" s="7"/>
      <c r="AG106" s="12" t="str">
        <f>$L$10</f>
        <v>A</v>
      </c>
      <c r="AH106" s="7"/>
      <c r="AI106" s="12">
        <f>$L$7</f>
        <v>0</v>
      </c>
      <c r="AJ106" s="16"/>
    </row>
    <row r="107" spans="2:36" ht="15.75" thickBot="1" x14ac:dyDescent="0.3">
      <c r="M107" s="20"/>
      <c r="N107" s="21"/>
      <c r="O107" s="21"/>
      <c r="P107" s="21"/>
      <c r="Q107" s="22">
        <f>$L$11</f>
        <v>455</v>
      </c>
      <c r="R107" s="53"/>
      <c r="S107" s="19"/>
      <c r="T107" s="7"/>
      <c r="U107" s="7"/>
      <c r="V107" s="7"/>
      <c r="W107" s="18" t="str">
        <f>$L$15</f>
        <v>A</v>
      </c>
      <c r="X107" s="7"/>
      <c r="Y107" s="18" t="str">
        <f>$L$15</f>
        <v>A</v>
      </c>
      <c r="Z107" s="7"/>
      <c r="AA107" s="12">
        <f>$L$11</f>
        <v>455</v>
      </c>
      <c r="AB107" s="7"/>
      <c r="AC107" s="12">
        <f>$L$8</f>
        <v>1500</v>
      </c>
      <c r="AD107" s="16"/>
      <c r="AE107" s="18" t="str">
        <f>$L$15</f>
        <v>A</v>
      </c>
      <c r="AF107" s="7"/>
      <c r="AG107" s="12">
        <f>$L$11</f>
        <v>455</v>
      </c>
      <c r="AH107" s="7"/>
      <c r="AI107" s="12">
        <f>$L$8</f>
        <v>1500</v>
      </c>
      <c r="AJ107" s="16"/>
    </row>
    <row r="108" spans="2:36" ht="15.75" thickBot="1" x14ac:dyDescent="0.3">
      <c r="S108" s="20"/>
      <c r="T108" s="21"/>
      <c r="U108" s="21"/>
      <c r="V108" s="21"/>
      <c r="W108" s="18">
        <f>$L$16</f>
        <v>455</v>
      </c>
      <c r="X108" s="21"/>
      <c r="Y108" s="18">
        <f>$L$16</f>
        <v>455</v>
      </c>
      <c r="Z108" s="7"/>
      <c r="AA108" s="12">
        <f>$L$13</f>
        <v>2500</v>
      </c>
      <c r="AB108" s="7"/>
      <c r="AC108" s="12">
        <f>$L$8</f>
        <v>1500</v>
      </c>
      <c r="AD108" s="16"/>
      <c r="AE108" s="18">
        <f>$L$16</f>
        <v>455</v>
      </c>
      <c r="AF108" s="7"/>
      <c r="AG108" s="12">
        <f>$L$13</f>
        <v>2500</v>
      </c>
      <c r="AH108" s="7"/>
      <c r="AI108" s="12">
        <f>$L$8</f>
        <v>1500</v>
      </c>
      <c r="AJ108" s="16"/>
    </row>
    <row r="109" spans="2:36" x14ac:dyDescent="0.25">
      <c r="Y109" s="19"/>
      <c r="Z109" s="7"/>
      <c r="AA109" s="12">
        <f>$L$13</f>
        <v>2500</v>
      </c>
      <c r="AB109" s="7"/>
      <c r="AC109" s="12" t="str">
        <f>$L$10</f>
        <v>A</v>
      </c>
      <c r="AD109" s="16"/>
    </row>
    <row r="110" spans="2:36" x14ac:dyDescent="0.25">
      <c r="Y110" s="19"/>
      <c r="Z110" s="7"/>
      <c r="AA110" s="12" t="str">
        <f>$L$15</f>
        <v>A</v>
      </c>
      <c r="AB110" s="7"/>
      <c r="AC110" s="12">
        <f>$L$11</f>
        <v>455</v>
      </c>
      <c r="AD110" s="16"/>
    </row>
    <row r="111" spans="2:36" x14ac:dyDescent="0.25">
      <c r="Y111" s="19"/>
      <c r="Z111" s="7"/>
      <c r="AA111" s="12">
        <f>$L$16</f>
        <v>455</v>
      </c>
      <c r="AB111" s="7"/>
      <c r="AC111" s="12">
        <f>$L$13</f>
        <v>2500</v>
      </c>
      <c r="AD111" s="16"/>
    </row>
    <row r="112" spans="2:36" x14ac:dyDescent="0.25">
      <c r="Y112" s="19"/>
      <c r="Z112" s="7"/>
      <c r="AA112" s="7"/>
      <c r="AB112" s="7"/>
      <c r="AC112" s="12">
        <f>$L$13</f>
        <v>2500</v>
      </c>
      <c r="AD112" s="16"/>
    </row>
    <row r="113" spans="25:30" x14ac:dyDescent="0.25">
      <c r="Y113" s="19"/>
      <c r="Z113" s="7"/>
      <c r="AA113" s="7"/>
      <c r="AB113" s="7"/>
      <c r="AC113" s="12" t="str">
        <f>$L$15</f>
        <v>A</v>
      </c>
      <c r="AD113" s="16"/>
    </row>
    <row r="114" spans="25:30" ht="15.75" thickBot="1" x14ac:dyDescent="0.3">
      <c r="Y114" s="20"/>
      <c r="Z114" s="21"/>
      <c r="AA114" s="21"/>
      <c r="AB114" s="21"/>
      <c r="AC114" s="22">
        <f>$L$16</f>
        <v>455</v>
      </c>
      <c r="AD114" s="23"/>
    </row>
    <row r="186" spans="3:7" x14ac:dyDescent="0.25">
      <c r="C186">
        <v>0</v>
      </c>
      <c r="D186" t="s">
        <v>260</v>
      </c>
      <c r="G186" t="s">
        <v>260</v>
      </c>
    </row>
    <row r="187" spans="3:7" x14ac:dyDescent="0.25">
      <c r="C187">
        <v>1</v>
      </c>
      <c r="D187" t="s">
        <v>2</v>
      </c>
      <c r="G187" t="s">
        <v>120</v>
      </c>
    </row>
    <row r="188" spans="3:7" x14ac:dyDescent="0.25">
      <c r="C188">
        <v>2</v>
      </c>
      <c r="D188" t="s">
        <v>3</v>
      </c>
      <c r="G188" t="s">
        <v>3</v>
      </c>
    </row>
    <row r="189" spans="3:7" x14ac:dyDescent="0.25">
      <c r="C189">
        <v>3</v>
      </c>
      <c r="D189" t="s">
        <v>4</v>
      </c>
      <c r="G189" t="s">
        <v>121</v>
      </c>
    </row>
    <row r="190" spans="3:7" x14ac:dyDescent="0.25">
      <c r="C190">
        <v>4</v>
      </c>
      <c r="D190" t="s">
        <v>120</v>
      </c>
      <c r="G190" t="s">
        <v>2</v>
      </c>
    </row>
    <row r="191" spans="3:7" x14ac:dyDescent="0.25">
      <c r="C191">
        <v>5</v>
      </c>
      <c r="D191" t="s">
        <v>121</v>
      </c>
      <c r="G191" t="s">
        <v>87</v>
      </c>
    </row>
    <row r="192" spans="3:7" x14ac:dyDescent="0.25">
      <c r="C192">
        <v>6</v>
      </c>
      <c r="D192" t="s">
        <v>6</v>
      </c>
      <c r="G192" t="s">
        <v>9</v>
      </c>
    </row>
    <row r="193" spans="1:26" x14ac:dyDescent="0.25">
      <c r="C193">
        <v>7</v>
      </c>
      <c r="D193" t="s">
        <v>7</v>
      </c>
      <c r="G193" t="s">
        <v>6</v>
      </c>
    </row>
    <row r="194" spans="1:26" x14ac:dyDescent="0.25">
      <c r="C194">
        <v>8</v>
      </c>
      <c r="D194" t="s">
        <v>8</v>
      </c>
      <c r="G194" t="s">
        <v>11</v>
      </c>
    </row>
    <row r="195" spans="1:26" x14ac:dyDescent="0.25">
      <c r="C195">
        <v>9</v>
      </c>
      <c r="D195" t="s">
        <v>9</v>
      </c>
      <c r="G195" t="s">
        <v>4</v>
      </c>
    </row>
    <row r="196" spans="1:26" x14ac:dyDescent="0.25">
      <c r="C196">
        <v>10</v>
      </c>
      <c r="D196" t="s">
        <v>11</v>
      </c>
      <c r="G196" t="s">
        <v>8</v>
      </c>
    </row>
    <row r="197" spans="1:26" x14ac:dyDescent="0.25">
      <c r="C197">
        <v>11</v>
      </c>
      <c r="D197" t="s">
        <v>87</v>
      </c>
      <c r="G197" t="s">
        <v>236</v>
      </c>
    </row>
    <row r="198" spans="1:26" x14ac:dyDescent="0.25">
      <c r="G198" t="s">
        <v>7</v>
      </c>
    </row>
    <row r="206" spans="1:26" x14ac:dyDescent="0.25">
      <c r="A206" s="106" t="s">
        <v>261</v>
      </c>
      <c r="B206" s="106"/>
      <c r="C206" s="106" t="s">
        <v>262</v>
      </c>
      <c r="D206" s="106"/>
      <c r="E206" s="106" t="s">
        <v>263</v>
      </c>
      <c r="F206" s="106"/>
      <c r="G206" s="106" t="s">
        <v>264</v>
      </c>
      <c r="H206" s="106"/>
      <c r="I206" s="106" t="s">
        <v>265</v>
      </c>
      <c r="J206" s="106"/>
      <c r="K206" s="106" t="s">
        <v>266</v>
      </c>
      <c r="L206" s="106"/>
      <c r="M206" s="106" t="s">
        <v>267</v>
      </c>
      <c r="N206" s="106"/>
      <c r="O206" s="106" t="s">
        <v>268</v>
      </c>
      <c r="P206" s="106"/>
      <c r="Q206" s="106" t="s">
        <v>269</v>
      </c>
      <c r="R206" s="106"/>
      <c r="S206" s="106" t="s">
        <v>270</v>
      </c>
      <c r="T206" s="106"/>
      <c r="U206" s="104" t="s">
        <v>271</v>
      </c>
      <c r="V206" s="105"/>
      <c r="W206" s="104" t="s">
        <v>272</v>
      </c>
      <c r="X206" s="105"/>
      <c r="Y206" s="104" t="s">
        <v>273</v>
      </c>
      <c r="Z206" s="105"/>
    </row>
    <row r="207" spans="1:26" x14ac:dyDescent="0.25">
      <c r="A207" s="67">
        <v>1</v>
      </c>
      <c r="B207" s="67"/>
      <c r="C207" s="66">
        <v>1</v>
      </c>
      <c r="D207" s="66"/>
      <c r="E207" s="67">
        <v>1</v>
      </c>
      <c r="F207" s="67"/>
      <c r="G207" s="66">
        <v>1</v>
      </c>
      <c r="H207" s="66"/>
      <c r="I207" s="67">
        <v>1</v>
      </c>
      <c r="J207" s="67"/>
      <c r="K207" s="66">
        <v>0</v>
      </c>
      <c r="L207" s="66"/>
      <c r="M207" s="67">
        <v>2</v>
      </c>
      <c r="N207" s="67"/>
      <c r="O207" s="66">
        <v>1</v>
      </c>
      <c r="P207" s="66"/>
      <c r="Q207" s="67">
        <v>2</v>
      </c>
      <c r="R207" s="67"/>
      <c r="S207" s="66">
        <v>2</v>
      </c>
      <c r="T207" s="66"/>
      <c r="U207" s="67">
        <v>1</v>
      </c>
      <c r="V207" s="67"/>
      <c r="W207" s="66">
        <v>1</v>
      </c>
      <c r="X207" s="66"/>
      <c r="Y207" s="67">
        <v>2</v>
      </c>
      <c r="Z207" s="67"/>
    </row>
    <row r="208" spans="1:26" x14ac:dyDescent="0.25">
      <c r="A208" s="67">
        <v>300</v>
      </c>
      <c r="B208" s="67"/>
      <c r="C208" s="66">
        <v>400</v>
      </c>
      <c r="D208" s="66"/>
      <c r="E208" s="67">
        <v>200</v>
      </c>
      <c r="F208" s="67"/>
      <c r="G208" s="66">
        <v>400</v>
      </c>
      <c r="H208" s="66"/>
      <c r="I208" s="67">
        <v>200</v>
      </c>
      <c r="J208" s="67"/>
      <c r="K208" s="66">
        <v>300</v>
      </c>
      <c r="L208" s="66"/>
      <c r="M208" s="67">
        <v>600</v>
      </c>
      <c r="N208" s="67"/>
      <c r="O208" s="66">
        <v>600</v>
      </c>
      <c r="P208" s="66"/>
      <c r="Q208" s="67">
        <v>600</v>
      </c>
      <c r="R208" s="67"/>
      <c r="S208" s="66">
        <v>400</v>
      </c>
      <c r="T208" s="66"/>
      <c r="U208" s="67">
        <v>400</v>
      </c>
      <c r="V208" s="67"/>
      <c r="W208" s="66">
        <v>400</v>
      </c>
      <c r="X208" s="66"/>
      <c r="Y208" s="67">
        <v>400</v>
      </c>
      <c r="Z208" s="67"/>
    </row>
    <row r="209" spans="1:26" x14ac:dyDescent="0.25">
      <c r="A209" s="67">
        <v>300</v>
      </c>
      <c r="B209" s="67"/>
      <c r="C209" s="66">
        <v>400</v>
      </c>
      <c r="D209" s="66"/>
      <c r="E209" s="67">
        <v>200</v>
      </c>
      <c r="F209" s="67"/>
      <c r="G209" s="66">
        <v>400</v>
      </c>
      <c r="H209" s="66"/>
      <c r="I209" s="67">
        <v>200</v>
      </c>
      <c r="J209" s="67"/>
      <c r="K209" s="66">
        <v>300</v>
      </c>
      <c r="L209" s="66"/>
      <c r="M209" s="67">
        <v>600</v>
      </c>
      <c r="N209" s="67"/>
      <c r="O209" s="66">
        <v>600</v>
      </c>
      <c r="P209" s="66"/>
      <c r="Q209" s="67">
        <v>600</v>
      </c>
      <c r="R209" s="67"/>
      <c r="S209" s="66">
        <v>400</v>
      </c>
      <c r="T209" s="66"/>
      <c r="U209" s="67">
        <v>400</v>
      </c>
      <c r="V209" s="67"/>
      <c r="W209" s="66">
        <v>400</v>
      </c>
      <c r="X209" s="66"/>
      <c r="Y209" s="67">
        <v>400</v>
      </c>
      <c r="Z209" s="67"/>
    </row>
    <row r="210" spans="1:26" x14ac:dyDescent="0.25">
      <c r="A210" s="67">
        <v>4500</v>
      </c>
      <c r="B210" s="67"/>
      <c r="C210" s="66">
        <v>6000</v>
      </c>
      <c r="D210" s="66"/>
      <c r="E210" s="67">
        <v>6000</v>
      </c>
      <c r="F210" s="67"/>
      <c r="G210" s="66">
        <v>6000</v>
      </c>
      <c r="H210" s="66"/>
      <c r="I210" s="67">
        <v>6000</v>
      </c>
      <c r="J210" s="67"/>
      <c r="K210" s="66">
        <v>6000</v>
      </c>
      <c r="L210" s="66"/>
      <c r="M210" s="67">
        <v>6000</v>
      </c>
      <c r="N210" s="67"/>
      <c r="O210" s="66">
        <v>6000</v>
      </c>
      <c r="P210" s="66"/>
      <c r="Q210" s="67">
        <v>7500</v>
      </c>
      <c r="R210" s="67"/>
      <c r="S210" s="66">
        <v>9000</v>
      </c>
      <c r="T210" s="66"/>
      <c r="U210" s="67">
        <v>9000</v>
      </c>
      <c r="V210" s="67"/>
      <c r="W210" s="66">
        <v>9000</v>
      </c>
      <c r="X210" s="66"/>
      <c r="Y210" s="67">
        <v>9000</v>
      </c>
      <c r="Z210" s="67"/>
    </row>
    <row r="211" spans="1:26" x14ac:dyDescent="0.25">
      <c r="A211" s="67">
        <v>2000</v>
      </c>
      <c r="B211" s="67"/>
      <c r="C211" s="66">
        <v>3000</v>
      </c>
      <c r="D211" s="66"/>
      <c r="E211" s="67">
        <v>3000</v>
      </c>
      <c r="F211" s="67"/>
      <c r="G211" s="66">
        <v>3000</v>
      </c>
      <c r="H211" s="66"/>
      <c r="I211" s="67">
        <v>3000</v>
      </c>
      <c r="J211" s="67"/>
      <c r="K211" s="66">
        <v>6000</v>
      </c>
      <c r="L211" s="66"/>
      <c r="M211" s="67">
        <v>1000</v>
      </c>
      <c r="N211" s="67"/>
      <c r="O211" s="66">
        <v>3000</v>
      </c>
      <c r="P211" s="66"/>
      <c r="Q211" s="67">
        <v>2500</v>
      </c>
      <c r="R211" s="67"/>
      <c r="S211" s="66">
        <v>3000</v>
      </c>
      <c r="T211" s="66"/>
      <c r="U211" s="67">
        <v>5500</v>
      </c>
      <c r="V211" s="67"/>
      <c r="W211" s="66">
        <v>5500</v>
      </c>
      <c r="X211" s="66"/>
      <c r="Y211" s="67">
        <v>3000</v>
      </c>
      <c r="Z211" s="67"/>
    </row>
    <row r="212" spans="1:26" x14ac:dyDescent="0.25">
      <c r="A212" s="67">
        <v>2500</v>
      </c>
      <c r="B212" s="67"/>
      <c r="C212" s="66">
        <v>3000</v>
      </c>
      <c r="D212" s="66"/>
      <c r="E212" s="67">
        <v>3000</v>
      </c>
      <c r="F212" s="67"/>
      <c r="G212" s="66">
        <v>3000</v>
      </c>
      <c r="H212" s="66"/>
      <c r="I212" s="67">
        <v>3000</v>
      </c>
      <c r="J212" s="67"/>
      <c r="K212" s="66">
        <v>0</v>
      </c>
      <c r="L212" s="66"/>
      <c r="M212" s="67">
        <v>2500</v>
      </c>
      <c r="N212" s="67"/>
      <c r="O212" s="66">
        <v>3000</v>
      </c>
      <c r="P212" s="66"/>
      <c r="Q212" s="67">
        <v>2500</v>
      </c>
      <c r="R212" s="67"/>
      <c r="S212" s="66">
        <v>3000</v>
      </c>
      <c r="T212" s="66"/>
      <c r="U212" s="67">
        <v>3500</v>
      </c>
      <c r="V212" s="67"/>
      <c r="W212" s="66">
        <v>3500</v>
      </c>
      <c r="X212" s="66"/>
      <c r="Y212" s="67">
        <v>3000</v>
      </c>
      <c r="Z212" s="67"/>
    </row>
    <row r="213" spans="1:26" x14ac:dyDescent="0.25">
      <c r="A213" s="67">
        <v>0</v>
      </c>
      <c r="B213" s="67"/>
      <c r="C213" s="66">
        <v>0</v>
      </c>
      <c r="D213" s="66"/>
      <c r="E213" s="67">
        <v>0</v>
      </c>
      <c r="F213" s="67"/>
      <c r="G213" s="66">
        <v>0</v>
      </c>
      <c r="H213" s="66"/>
      <c r="I213" s="67">
        <v>0</v>
      </c>
      <c r="J213" s="67"/>
      <c r="K213" s="66">
        <v>0</v>
      </c>
      <c r="L213" s="66"/>
      <c r="M213" s="67">
        <v>2500</v>
      </c>
      <c r="N213" s="67"/>
      <c r="O213" s="66">
        <v>0</v>
      </c>
      <c r="P213" s="66"/>
      <c r="Q213" s="67">
        <v>2500</v>
      </c>
      <c r="R213" s="67"/>
      <c r="S213" s="66">
        <v>3000</v>
      </c>
      <c r="T213" s="66"/>
      <c r="U213" s="67">
        <v>0</v>
      </c>
      <c r="V213" s="67"/>
      <c r="W213" s="66">
        <v>0</v>
      </c>
      <c r="X213" s="66"/>
      <c r="Y213" s="67">
        <v>3000</v>
      </c>
      <c r="Z213" s="67"/>
    </row>
    <row r="214" spans="1:26" x14ac:dyDescent="0.25">
      <c r="A214" s="67">
        <v>139.69999999999999</v>
      </c>
      <c r="B214" s="67"/>
      <c r="C214" s="66">
        <v>88.9</v>
      </c>
      <c r="D214" s="66"/>
      <c r="E214" s="67">
        <v>88.9</v>
      </c>
      <c r="F214" s="67"/>
      <c r="G214" s="66">
        <v>88.9</v>
      </c>
      <c r="H214" s="66"/>
      <c r="I214" s="67">
        <v>88.9</v>
      </c>
      <c r="J214" s="67"/>
      <c r="K214" s="66">
        <v>88.9</v>
      </c>
      <c r="L214" s="66"/>
      <c r="M214" s="67">
        <v>139.69999999999999</v>
      </c>
      <c r="N214" s="67"/>
      <c r="O214" s="66">
        <v>114.3</v>
      </c>
      <c r="P214" s="66"/>
      <c r="Q214" s="67">
        <v>139.69999999999999</v>
      </c>
      <c r="R214" s="67"/>
      <c r="S214" s="66">
        <v>88.9</v>
      </c>
      <c r="T214" s="66"/>
      <c r="U214" s="67">
        <v>114.3</v>
      </c>
      <c r="V214" s="67"/>
      <c r="W214" s="66">
        <v>114.3</v>
      </c>
      <c r="X214" s="66"/>
      <c r="Y214" s="67">
        <v>139.69999999999999</v>
      </c>
      <c r="Z214" s="67"/>
    </row>
    <row r="215" spans="1:26" x14ac:dyDescent="0.25">
      <c r="A215" s="67">
        <v>88.9</v>
      </c>
      <c r="B215" s="67"/>
      <c r="C215" s="66">
        <v>88.9</v>
      </c>
      <c r="D215" s="66"/>
      <c r="E215" s="67">
        <v>88.9</v>
      </c>
      <c r="F215" s="67"/>
      <c r="G215" s="66">
        <v>88.9</v>
      </c>
      <c r="H215" s="66"/>
      <c r="I215" s="67">
        <v>88.9</v>
      </c>
      <c r="J215" s="67"/>
      <c r="K215" s="66">
        <v>0</v>
      </c>
      <c r="L215" s="66"/>
      <c r="M215" s="67">
        <v>139.69999999999999</v>
      </c>
      <c r="N215" s="67"/>
      <c r="O215" s="66">
        <v>88.9</v>
      </c>
      <c r="P215" s="66"/>
      <c r="Q215" s="67">
        <v>139.69999999999999</v>
      </c>
      <c r="R215" s="67"/>
      <c r="S215" s="66">
        <v>88.9</v>
      </c>
      <c r="T215" s="66"/>
      <c r="U215" s="67">
        <v>88.9</v>
      </c>
      <c r="V215" s="67"/>
      <c r="W215" s="66">
        <v>88.9</v>
      </c>
      <c r="X215" s="66"/>
      <c r="Y215" s="67">
        <v>114.3</v>
      </c>
      <c r="Z215" s="67"/>
    </row>
    <row r="216" spans="1:26" x14ac:dyDescent="0.25">
      <c r="A216" s="67">
        <v>0</v>
      </c>
      <c r="B216" s="67"/>
      <c r="C216" s="66">
        <v>0</v>
      </c>
      <c r="D216" s="66"/>
      <c r="E216" s="67">
        <v>0</v>
      </c>
      <c r="F216" s="67"/>
      <c r="G216" s="66">
        <v>0</v>
      </c>
      <c r="H216" s="66"/>
      <c r="I216" s="67">
        <v>0</v>
      </c>
      <c r="J216" s="67"/>
      <c r="K216" s="66">
        <v>0</v>
      </c>
      <c r="L216" s="66"/>
      <c r="M216" s="67">
        <v>139.69999999999999</v>
      </c>
      <c r="N216" s="67"/>
      <c r="O216" s="66">
        <v>0</v>
      </c>
      <c r="P216" s="66"/>
      <c r="Q216" s="67">
        <v>139.69999999999999</v>
      </c>
      <c r="R216" s="67"/>
      <c r="S216" s="66">
        <v>88.9</v>
      </c>
      <c r="T216" s="66"/>
      <c r="U216" s="67">
        <v>0</v>
      </c>
      <c r="V216" s="67"/>
      <c r="W216" s="66">
        <v>0</v>
      </c>
      <c r="X216" s="66"/>
      <c r="Y216" s="67">
        <v>88.9</v>
      </c>
      <c r="Z216" s="67"/>
    </row>
    <row r="217" spans="1:26" x14ac:dyDescent="0.25">
      <c r="A217" s="67">
        <v>1500</v>
      </c>
      <c r="B217" s="67"/>
      <c r="C217" s="66">
        <v>1500</v>
      </c>
      <c r="D217" s="66"/>
      <c r="E217" s="67">
        <v>1800</v>
      </c>
      <c r="F217" s="67"/>
      <c r="G217" s="66">
        <v>1500</v>
      </c>
      <c r="H217" s="66"/>
      <c r="I217" s="67">
        <v>1800</v>
      </c>
      <c r="J217" s="67"/>
      <c r="K217" s="66">
        <v>2000</v>
      </c>
      <c r="L217" s="66"/>
      <c r="M217" s="67">
        <v>1000</v>
      </c>
      <c r="N217" s="67"/>
      <c r="O217" s="66">
        <v>2000</v>
      </c>
      <c r="P217" s="66"/>
      <c r="Q217" s="67">
        <v>1000</v>
      </c>
      <c r="R217" s="67"/>
      <c r="S217" s="66">
        <v>2500</v>
      </c>
      <c r="T217" s="66"/>
      <c r="U217" s="67">
        <v>2500</v>
      </c>
      <c r="V217" s="67"/>
      <c r="W217" s="66">
        <v>2500</v>
      </c>
      <c r="X217" s="66"/>
      <c r="Y217" s="67">
        <v>2100</v>
      </c>
      <c r="Z217" s="67"/>
    </row>
    <row r="218" spans="1:26" x14ac:dyDescent="0.25">
      <c r="A218" s="67">
        <v>2500</v>
      </c>
      <c r="B218" s="67"/>
      <c r="C218" s="66">
        <v>3500</v>
      </c>
      <c r="D218" s="66"/>
      <c r="E218" s="67">
        <v>3500</v>
      </c>
      <c r="F218" s="67"/>
      <c r="G218" s="66">
        <v>3500</v>
      </c>
      <c r="H218" s="66"/>
      <c r="I218" s="67">
        <v>3500</v>
      </c>
      <c r="J218" s="67"/>
      <c r="K218" s="66">
        <v>3500</v>
      </c>
      <c r="L218" s="66"/>
      <c r="M218" s="67">
        <v>3000</v>
      </c>
      <c r="N218" s="67"/>
      <c r="O218" s="66">
        <v>2500</v>
      </c>
      <c r="P218" s="66"/>
      <c r="Q218" s="67">
        <v>4500</v>
      </c>
      <c r="R218" s="67"/>
      <c r="S218" s="66">
        <v>6600</v>
      </c>
      <c r="T218" s="66"/>
      <c r="U218" s="67">
        <v>6000</v>
      </c>
      <c r="V218" s="67"/>
      <c r="W218" s="66">
        <v>6000</v>
      </c>
      <c r="X218" s="66"/>
      <c r="Y218" s="67">
        <v>2500</v>
      </c>
      <c r="Z218" s="67"/>
    </row>
    <row r="219" spans="1:26" x14ac:dyDescent="0.25">
      <c r="A219" s="67">
        <v>300</v>
      </c>
      <c r="B219" s="67"/>
      <c r="C219" s="66">
        <v>300</v>
      </c>
      <c r="D219" s="66"/>
      <c r="E219" s="67">
        <v>300</v>
      </c>
      <c r="F219" s="67"/>
      <c r="G219" s="66">
        <v>300</v>
      </c>
      <c r="H219" s="66"/>
      <c r="I219" s="67">
        <v>300</v>
      </c>
      <c r="J219" s="67"/>
      <c r="K219" s="66">
        <v>300</v>
      </c>
      <c r="L219" s="66"/>
      <c r="M219" s="67">
        <v>300</v>
      </c>
      <c r="N219" s="67"/>
      <c r="O219" s="66">
        <v>300</v>
      </c>
      <c r="P219" s="66"/>
      <c r="Q219" s="67">
        <v>300</v>
      </c>
      <c r="R219" s="67"/>
      <c r="S219" s="66">
        <v>300</v>
      </c>
      <c r="T219" s="66"/>
      <c r="U219" s="67">
        <v>300</v>
      </c>
      <c r="V219" s="67"/>
      <c r="W219" s="66">
        <v>300</v>
      </c>
      <c r="X219" s="66"/>
      <c r="Y219" s="67">
        <v>300</v>
      </c>
      <c r="Z219" s="67"/>
    </row>
    <row r="220" spans="1:26" x14ac:dyDescent="0.25">
      <c r="A220" s="67">
        <v>300</v>
      </c>
      <c r="B220" s="67"/>
      <c r="C220" s="66">
        <v>300</v>
      </c>
      <c r="D220" s="66"/>
      <c r="E220" s="67">
        <v>300</v>
      </c>
      <c r="F220" s="67"/>
      <c r="G220" s="66">
        <v>300</v>
      </c>
      <c r="H220" s="66"/>
      <c r="I220" s="67">
        <v>300</v>
      </c>
      <c r="J220" s="67"/>
      <c r="K220" s="66">
        <v>300</v>
      </c>
      <c r="L220" s="66"/>
      <c r="M220" s="67">
        <v>300</v>
      </c>
      <c r="N220" s="67"/>
      <c r="O220" s="66">
        <v>300</v>
      </c>
      <c r="P220" s="66"/>
      <c r="Q220" s="67">
        <v>300</v>
      </c>
      <c r="R220" s="67"/>
      <c r="S220" s="66">
        <v>300</v>
      </c>
      <c r="T220" s="66"/>
      <c r="U220" s="67">
        <v>300</v>
      </c>
      <c r="V220" s="67"/>
      <c r="W220" s="66">
        <v>300</v>
      </c>
      <c r="X220" s="66"/>
      <c r="Y220" s="67">
        <v>300</v>
      </c>
      <c r="Z220" s="67"/>
    </row>
    <row r="221" spans="1:26" x14ac:dyDescent="0.25">
      <c r="A221" s="67">
        <v>90</v>
      </c>
      <c r="B221" s="67"/>
      <c r="C221" s="66">
        <v>120</v>
      </c>
      <c r="D221" s="66"/>
      <c r="E221" s="67">
        <v>90</v>
      </c>
      <c r="F221" s="67"/>
      <c r="G221" s="66">
        <v>90</v>
      </c>
      <c r="H221" s="66"/>
      <c r="I221" s="67">
        <v>90</v>
      </c>
      <c r="J221" s="67"/>
      <c r="K221" s="66">
        <v>90</v>
      </c>
      <c r="L221" s="66"/>
      <c r="M221" s="67">
        <v>120</v>
      </c>
      <c r="N221" s="67"/>
      <c r="O221" s="66">
        <v>90</v>
      </c>
      <c r="P221" s="66"/>
      <c r="Q221" s="67">
        <v>120</v>
      </c>
      <c r="R221" s="67"/>
      <c r="S221" s="66">
        <v>90</v>
      </c>
      <c r="T221" s="66"/>
      <c r="U221" s="67">
        <v>90</v>
      </c>
      <c r="V221" s="67"/>
      <c r="W221" s="66">
        <v>90</v>
      </c>
      <c r="X221" s="66"/>
      <c r="Y221" s="67">
        <v>90</v>
      </c>
      <c r="Z221" s="67"/>
    </row>
    <row r="222" spans="1:26" x14ac:dyDescent="0.25">
      <c r="A222" s="67" t="s">
        <v>50</v>
      </c>
      <c r="B222" s="67"/>
      <c r="C222" s="66" t="s">
        <v>52</v>
      </c>
      <c r="D222" s="66"/>
      <c r="E222" s="67" t="s">
        <v>50</v>
      </c>
      <c r="F222" s="67"/>
      <c r="G222" s="66" t="s">
        <v>52</v>
      </c>
      <c r="H222" s="66"/>
      <c r="I222" s="67" t="s">
        <v>50</v>
      </c>
      <c r="J222" s="67"/>
      <c r="K222" s="66" t="s">
        <v>50</v>
      </c>
      <c r="L222" s="66"/>
      <c r="M222" s="67" t="s">
        <v>50</v>
      </c>
      <c r="N222" s="67"/>
      <c r="O222" s="66" t="s">
        <v>50</v>
      </c>
      <c r="P222" s="66"/>
      <c r="Q222" s="67" t="s">
        <v>50</v>
      </c>
      <c r="R222" s="67"/>
      <c r="S222" s="66" t="s">
        <v>52</v>
      </c>
      <c r="T222" s="66"/>
      <c r="U222" s="67" t="s">
        <v>50</v>
      </c>
      <c r="V222" s="67"/>
      <c r="W222" s="66" t="s">
        <v>50</v>
      </c>
      <c r="X222" s="66"/>
      <c r="Y222" s="67" t="s">
        <v>50</v>
      </c>
      <c r="Z222" s="67"/>
    </row>
    <row r="223" spans="1:26" x14ac:dyDescent="0.25">
      <c r="A223" s="67">
        <v>655</v>
      </c>
      <c r="B223" s="67"/>
      <c r="C223" s="66" t="s">
        <v>65</v>
      </c>
      <c r="D223" s="66"/>
      <c r="E223" s="67">
        <v>655</v>
      </c>
      <c r="F223" s="67"/>
      <c r="G223" s="66" t="s">
        <v>65</v>
      </c>
      <c r="H223" s="66"/>
      <c r="I223" s="67">
        <v>655</v>
      </c>
      <c r="J223" s="67"/>
      <c r="K223" s="66">
        <v>655</v>
      </c>
      <c r="L223" s="66"/>
      <c r="M223" s="67">
        <v>556</v>
      </c>
      <c r="N223" s="67"/>
      <c r="O223" s="66">
        <v>655</v>
      </c>
      <c r="P223" s="66"/>
      <c r="Q223" s="67">
        <v>506</v>
      </c>
      <c r="R223" s="67"/>
      <c r="S223" s="66" t="s">
        <v>68</v>
      </c>
      <c r="T223" s="66"/>
      <c r="U223" s="67">
        <v>655</v>
      </c>
      <c r="V223" s="67"/>
      <c r="W223" s="66">
        <v>655</v>
      </c>
      <c r="X223" s="66"/>
      <c r="Y223" s="67">
        <v>506</v>
      </c>
      <c r="Z223" s="67"/>
    </row>
    <row r="224" spans="1:26" x14ac:dyDescent="0.25">
      <c r="A224" s="67">
        <v>0</v>
      </c>
      <c r="B224" s="67"/>
      <c r="C224" s="66">
        <v>0</v>
      </c>
      <c r="D224" s="66"/>
      <c r="E224" s="67">
        <v>0</v>
      </c>
      <c r="F224" s="67"/>
      <c r="G224" s="66">
        <v>0</v>
      </c>
      <c r="H224" s="66"/>
      <c r="I224" s="67">
        <v>0</v>
      </c>
      <c r="J224" s="67"/>
      <c r="K224" s="66">
        <v>0</v>
      </c>
      <c r="L224" s="66"/>
      <c r="M224" s="67">
        <v>0</v>
      </c>
      <c r="N224" s="67"/>
      <c r="O224" s="66">
        <v>0</v>
      </c>
      <c r="P224" s="66"/>
      <c r="Q224" s="67">
        <v>0</v>
      </c>
      <c r="R224" s="67"/>
      <c r="S224" s="66">
        <v>0</v>
      </c>
      <c r="T224" s="66"/>
      <c r="U224" s="67">
        <v>0</v>
      </c>
      <c r="V224" s="67"/>
      <c r="W224" s="66">
        <v>0</v>
      </c>
      <c r="X224" s="66"/>
      <c r="Y224" s="67">
        <v>0</v>
      </c>
      <c r="Z224" s="67"/>
    </row>
    <row r="225" spans="1:26" x14ac:dyDescent="0.25">
      <c r="A225" s="67">
        <v>0</v>
      </c>
      <c r="B225" s="67"/>
      <c r="C225" s="66">
        <v>0</v>
      </c>
      <c r="D225" s="66"/>
      <c r="E225" s="67">
        <v>0</v>
      </c>
      <c r="F225" s="67"/>
      <c r="G225" s="66">
        <v>0</v>
      </c>
      <c r="H225" s="66"/>
      <c r="I225" s="67">
        <v>0</v>
      </c>
      <c r="J225" s="67"/>
      <c r="K225" s="66">
        <v>0</v>
      </c>
      <c r="L225" s="66"/>
      <c r="M225" s="67">
        <v>0</v>
      </c>
      <c r="N225" s="67"/>
      <c r="O225" s="66">
        <v>0</v>
      </c>
      <c r="P225" s="66"/>
      <c r="Q225" s="67">
        <v>0</v>
      </c>
      <c r="R225" s="67"/>
      <c r="S225" s="66">
        <v>0</v>
      </c>
      <c r="T225" s="66"/>
      <c r="U225" s="67">
        <v>0</v>
      </c>
      <c r="V225" s="67"/>
      <c r="W225" s="66">
        <v>0</v>
      </c>
      <c r="X225" s="66"/>
      <c r="Y225" s="67">
        <v>0</v>
      </c>
      <c r="Z225" s="67"/>
    </row>
    <row r="226" spans="1:26" x14ac:dyDescent="0.25">
      <c r="A226" s="67">
        <v>0</v>
      </c>
      <c r="B226" s="67"/>
      <c r="C226" s="66">
        <v>0</v>
      </c>
      <c r="D226" s="66"/>
      <c r="E226" s="67">
        <v>0</v>
      </c>
      <c r="F226" s="67"/>
      <c r="G226" s="66">
        <v>0</v>
      </c>
      <c r="H226" s="66"/>
      <c r="I226" s="67">
        <v>0</v>
      </c>
      <c r="J226" s="67"/>
      <c r="K226" s="66">
        <v>0</v>
      </c>
      <c r="L226" s="66"/>
      <c r="M226" s="67">
        <v>0</v>
      </c>
      <c r="N226" s="67"/>
      <c r="O226" s="66">
        <v>0</v>
      </c>
      <c r="P226" s="66"/>
      <c r="Q226" s="67">
        <v>0</v>
      </c>
      <c r="R226" s="67"/>
      <c r="S226" s="66">
        <v>0</v>
      </c>
      <c r="T226" s="66"/>
      <c r="U226" s="67">
        <v>0</v>
      </c>
      <c r="V226" s="67"/>
      <c r="W226" s="66">
        <v>0</v>
      </c>
      <c r="X226" s="66"/>
      <c r="Y226" s="67">
        <v>0</v>
      </c>
      <c r="Z226" s="67"/>
    </row>
    <row r="227" spans="1:26" x14ac:dyDescent="0.25">
      <c r="A227" s="67">
        <v>0</v>
      </c>
      <c r="B227" s="67"/>
      <c r="C227" s="66">
        <v>0</v>
      </c>
      <c r="D227" s="66"/>
      <c r="E227" s="67">
        <v>0</v>
      </c>
      <c r="F227" s="67"/>
      <c r="G227" s="66">
        <v>0</v>
      </c>
      <c r="H227" s="66"/>
      <c r="I227" s="67">
        <v>0</v>
      </c>
      <c r="J227" s="67"/>
      <c r="K227" s="66">
        <v>0</v>
      </c>
      <c r="L227" s="66"/>
      <c r="M227" s="67">
        <v>0</v>
      </c>
      <c r="N227" s="67"/>
      <c r="O227" s="66">
        <v>0</v>
      </c>
      <c r="P227" s="66"/>
      <c r="Q227" s="67">
        <v>0</v>
      </c>
      <c r="R227" s="67"/>
      <c r="S227" s="66">
        <v>0</v>
      </c>
      <c r="T227" s="66"/>
      <c r="U227" s="67">
        <v>0</v>
      </c>
      <c r="V227" s="67"/>
      <c r="W227" s="66">
        <v>0</v>
      </c>
      <c r="X227" s="66"/>
      <c r="Y227" s="67">
        <v>0</v>
      </c>
      <c r="Z227" s="67"/>
    </row>
    <row r="228" spans="1:26" x14ac:dyDescent="0.25">
      <c r="A228" s="67">
        <v>0</v>
      </c>
      <c r="B228" s="67"/>
      <c r="C228" s="66">
        <v>0</v>
      </c>
      <c r="D228" s="66"/>
      <c r="E228" s="67">
        <v>0</v>
      </c>
      <c r="F228" s="67"/>
      <c r="G228" s="66">
        <v>0</v>
      </c>
      <c r="H228" s="66"/>
      <c r="I228" s="67">
        <v>0</v>
      </c>
      <c r="J228" s="67"/>
      <c r="K228" s="66">
        <v>0</v>
      </c>
      <c r="L228" s="66"/>
      <c r="M228" s="67">
        <v>0</v>
      </c>
      <c r="N228" s="67"/>
      <c r="O228" s="66">
        <v>0</v>
      </c>
      <c r="P228" s="66"/>
      <c r="Q228" s="67">
        <v>0</v>
      </c>
      <c r="R228" s="67"/>
      <c r="S228" s="66">
        <v>0</v>
      </c>
      <c r="T228" s="66"/>
      <c r="U228" s="67">
        <v>0</v>
      </c>
      <c r="V228" s="67"/>
      <c r="W228" s="66">
        <v>0</v>
      </c>
      <c r="X228" s="66"/>
      <c r="Y228" s="67">
        <v>0</v>
      </c>
      <c r="Z228" s="67"/>
    </row>
    <row r="229" spans="1:26" x14ac:dyDescent="0.25">
      <c r="A229" s="67">
        <v>0</v>
      </c>
      <c r="B229" s="67"/>
      <c r="C229" s="66">
        <v>0</v>
      </c>
      <c r="D229" s="66"/>
      <c r="E229" s="67">
        <v>0</v>
      </c>
      <c r="F229" s="67"/>
      <c r="G229" s="66">
        <v>0</v>
      </c>
      <c r="H229" s="66"/>
      <c r="I229" s="67">
        <v>0</v>
      </c>
      <c r="J229" s="67"/>
      <c r="K229" s="66">
        <v>0</v>
      </c>
      <c r="L229" s="66"/>
      <c r="M229" s="67">
        <v>0</v>
      </c>
      <c r="N229" s="67"/>
      <c r="O229" s="66">
        <v>0</v>
      </c>
      <c r="P229" s="66"/>
      <c r="Q229" s="67">
        <v>0</v>
      </c>
      <c r="R229" s="67"/>
      <c r="S229" s="66">
        <v>0</v>
      </c>
      <c r="T229" s="66"/>
      <c r="U229" s="67">
        <v>0</v>
      </c>
      <c r="V229" s="67"/>
      <c r="W229" s="66">
        <v>0</v>
      </c>
      <c r="X229" s="66"/>
      <c r="Y229" s="67">
        <v>0</v>
      </c>
      <c r="Z229" s="67"/>
    </row>
    <row r="230" spans="1:26" x14ac:dyDescent="0.25">
      <c r="A230" s="67">
        <v>0</v>
      </c>
      <c r="B230" s="67"/>
      <c r="C230" s="66">
        <v>0</v>
      </c>
      <c r="D230" s="66"/>
      <c r="E230" s="67">
        <v>0</v>
      </c>
      <c r="F230" s="67"/>
      <c r="G230" s="66">
        <v>0</v>
      </c>
      <c r="H230" s="66"/>
      <c r="I230" s="67">
        <v>0</v>
      </c>
      <c r="J230" s="67"/>
      <c r="K230" s="66">
        <v>0</v>
      </c>
      <c r="L230" s="66"/>
      <c r="M230" s="67">
        <v>0</v>
      </c>
      <c r="N230" s="67"/>
      <c r="O230" s="66">
        <v>0</v>
      </c>
      <c r="P230" s="66"/>
      <c r="Q230" s="67">
        <v>0</v>
      </c>
      <c r="R230" s="67"/>
      <c r="S230" s="66">
        <v>0</v>
      </c>
      <c r="T230" s="66"/>
      <c r="U230" s="67">
        <v>0</v>
      </c>
      <c r="V230" s="67"/>
      <c r="W230" s="66">
        <v>0</v>
      </c>
      <c r="X230" s="66"/>
      <c r="Y230" s="67">
        <v>0</v>
      </c>
      <c r="Z230" s="67"/>
    </row>
    <row r="231" spans="1:26" x14ac:dyDescent="0.25">
      <c r="A231" s="67">
        <v>0</v>
      </c>
      <c r="B231" s="67"/>
      <c r="C231" s="66">
        <v>0</v>
      </c>
      <c r="D231" s="66"/>
      <c r="E231" s="67">
        <v>0</v>
      </c>
      <c r="F231" s="67"/>
      <c r="G231" s="66">
        <v>0</v>
      </c>
      <c r="H231" s="66"/>
      <c r="I231" s="67">
        <v>0</v>
      </c>
      <c r="J231" s="67"/>
      <c r="K231" s="66">
        <v>0</v>
      </c>
      <c r="L231" s="66"/>
      <c r="M231" s="67">
        <v>0</v>
      </c>
      <c r="N231" s="67"/>
      <c r="O231" s="66">
        <v>0</v>
      </c>
      <c r="P231" s="66"/>
      <c r="Q231" s="67">
        <v>0</v>
      </c>
      <c r="R231" s="67"/>
      <c r="S231" s="66">
        <v>0</v>
      </c>
      <c r="T231" s="66"/>
      <c r="U231" s="67">
        <v>0</v>
      </c>
      <c r="V231" s="67"/>
      <c r="W231" s="66">
        <v>0</v>
      </c>
      <c r="X231" s="66"/>
      <c r="Y231" s="67">
        <v>0</v>
      </c>
      <c r="Z231" s="67"/>
    </row>
    <row r="232" spans="1:26" x14ac:dyDescent="0.25">
      <c r="A232" s="67">
        <v>0</v>
      </c>
      <c r="B232" s="67"/>
      <c r="C232" s="66">
        <v>0</v>
      </c>
      <c r="D232" s="66"/>
      <c r="E232" s="67">
        <v>0</v>
      </c>
      <c r="F232" s="67"/>
      <c r="G232" s="66">
        <v>0</v>
      </c>
      <c r="H232" s="66"/>
      <c r="I232" s="67">
        <v>0</v>
      </c>
      <c r="J232" s="67"/>
      <c r="K232" s="66">
        <v>0</v>
      </c>
      <c r="L232" s="66"/>
      <c r="M232" s="67">
        <v>0</v>
      </c>
      <c r="N232" s="67"/>
      <c r="O232" s="66">
        <v>0</v>
      </c>
      <c r="P232" s="66"/>
      <c r="Q232" s="67">
        <v>0</v>
      </c>
      <c r="R232" s="67"/>
      <c r="S232" s="66">
        <v>0</v>
      </c>
      <c r="T232" s="66"/>
      <c r="U232" s="67">
        <v>0</v>
      </c>
      <c r="V232" s="67"/>
      <c r="W232" s="66">
        <v>0</v>
      </c>
      <c r="X232" s="66"/>
      <c r="Y232" s="67">
        <v>0</v>
      </c>
      <c r="Z232" s="67"/>
    </row>
    <row r="233" spans="1:26" x14ac:dyDescent="0.25">
      <c r="A233" s="67">
        <v>0</v>
      </c>
      <c r="B233" s="67"/>
      <c r="C233" s="66">
        <v>0</v>
      </c>
      <c r="D233" s="66"/>
      <c r="E233" s="67">
        <v>0</v>
      </c>
      <c r="F233" s="67"/>
      <c r="G233" s="66">
        <v>0</v>
      </c>
      <c r="H233" s="66"/>
      <c r="I233" s="67">
        <v>0</v>
      </c>
      <c r="J233" s="67"/>
      <c r="K233" s="66">
        <v>0</v>
      </c>
      <c r="L233" s="66"/>
      <c r="M233" s="67">
        <v>0</v>
      </c>
      <c r="N233" s="67"/>
      <c r="O233" s="66">
        <v>0</v>
      </c>
      <c r="P233" s="66"/>
      <c r="Q233" s="67">
        <v>0</v>
      </c>
      <c r="R233" s="67"/>
      <c r="S233" s="66">
        <v>0</v>
      </c>
      <c r="T233" s="66"/>
      <c r="U233" s="67">
        <v>0</v>
      </c>
      <c r="V233" s="67"/>
      <c r="W233" s="66">
        <v>0</v>
      </c>
      <c r="X233" s="66"/>
      <c r="Y233" s="67">
        <v>0</v>
      </c>
      <c r="Z233" s="67"/>
    </row>
    <row r="234" spans="1:26" x14ac:dyDescent="0.25">
      <c r="A234" s="67">
        <v>0</v>
      </c>
      <c r="B234" s="67"/>
      <c r="C234" s="66">
        <v>0</v>
      </c>
      <c r="D234" s="66"/>
      <c r="E234" s="67">
        <v>0</v>
      </c>
      <c r="F234" s="67"/>
      <c r="G234" s="66">
        <v>0</v>
      </c>
      <c r="H234" s="66"/>
      <c r="I234" s="67">
        <v>0</v>
      </c>
      <c r="J234" s="67"/>
      <c r="K234" s="66">
        <v>0</v>
      </c>
      <c r="L234" s="66"/>
      <c r="M234" s="67">
        <v>0</v>
      </c>
      <c r="N234" s="67"/>
      <c r="O234" s="66">
        <v>0</v>
      </c>
      <c r="P234" s="66"/>
      <c r="Q234" s="67">
        <v>0</v>
      </c>
      <c r="R234" s="67"/>
      <c r="S234" s="66">
        <v>0</v>
      </c>
      <c r="T234" s="66"/>
      <c r="U234" s="67">
        <v>0</v>
      </c>
      <c r="V234" s="67"/>
      <c r="W234" s="66">
        <v>0</v>
      </c>
      <c r="X234" s="66"/>
      <c r="Y234" s="67">
        <v>0</v>
      </c>
      <c r="Z234" s="67"/>
    </row>
    <row r="515" spans="1:17" x14ac:dyDescent="0.25">
      <c r="A515" s="7" t="s">
        <v>275</v>
      </c>
      <c r="D515" t="s">
        <v>88</v>
      </c>
      <c r="E515" t="s">
        <v>89</v>
      </c>
      <c r="K515" t="s">
        <v>276</v>
      </c>
    </row>
    <row r="516" spans="1:17" x14ac:dyDescent="0.25">
      <c r="A516" s="65" t="s">
        <v>277</v>
      </c>
      <c r="D516">
        <v>405</v>
      </c>
      <c r="E516" t="s">
        <v>64</v>
      </c>
      <c r="F516" t="s">
        <v>85</v>
      </c>
      <c r="H516" t="s">
        <v>17</v>
      </c>
      <c r="K516" t="s">
        <v>278</v>
      </c>
    </row>
    <row r="517" spans="1:17" x14ac:dyDescent="0.25">
      <c r="A517" s="65" t="s">
        <v>279</v>
      </c>
      <c r="D517">
        <v>453</v>
      </c>
      <c r="E517" t="s">
        <v>65</v>
      </c>
      <c r="F517" t="s">
        <v>50</v>
      </c>
      <c r="G517">
        <v>0</v>
      </c>
      <c r="H517" t="s">
        <v>20</v>
      </c>
      <c r="K517" t="s">
        <v>280</v>
      </c>
    </row>
    <row r="518" spans="1:17" x14ac:dyDescent="0.25">
      <c r="A518" s="64" t="s">
        <v>281</v>
      </c>
      <c r="D518">
        <v>454</v>
      </c>
      <c r="E518" t="s">
        <v>66</v>
      </c>
      <c r="F518" t="s">
        <v>52</v>
      </c>
      <c r="G518">
        <v>1</v>
      </c>
      <c r="H518" t="s">
        <v>21</v>
      </c>
      <c r="K518" t="s">
        <v>282</v>
      </c>
    </row>
    <row r="519" spans="1:17" x14ac:dyDescent="0.25">
      <c r="A519" s="64" t="s">
        <v>283</v>
      </c>
      <c r="D519">
        <v>455</v>
      </c>
      <c r="E519" t="s">
        <v>67</v>
      </c>
      <c r="G519">
        <v>2</v>
      </c>
      <c r="K519" t="s">
        <v>284</v>
      </c>
      <c r="Q519" t="s">
        <v>285</v>
      </c>
    </row>
    <row r="520" spans="1:17" x14ac:dyDescent="0.25">
      <c r="A520" s="7" t="s">
        <v>286</v>
      </c>
      <c r="D520">
        <v>503</v>
      </c>
      <c r="E520" t="s">
        <v>68</v>
      </c>
      <c r="K520" t="s">
        <v>287</v>
      </c>
    </row>
    <row r="521" spans="1:17" x14ac:dyDescent="0.25">
      <c r="A521" s="7" t="s">
        <v>288</v>
      </c>
      <c r="D521">
        <v>504</v>
      </c>
      <c r="E521" t="s">
        <v>69</v>
      </c>
      <c r="K521" t="s">
        <v>289</v>
      </c>
    </row>
    <row r="522" spans="1:17" x14ac:dyDescent="0.25">
      <c r="A522" s="7" t="s">
        <v>290</v>
      </c>
      <c r="D522">
        <v>505</v>
      </c>
      <c r="E522" t="s">
        <v>70</v>
      </c>
      <c r="K522" t="s">
        <v>291</v>
      </c>
    </row>
    <row r="523" spans="1:17" x14ac:dyDescent="0.25">
      <c r="A523" s="7" t="s">
        <v>292</v>
      </c>
      <c r="D523">
        <v>554</v>
      </c>
      <c r="E523" t="s">
        <v>71</v>
      </c>
      <c r="K523" t="s">
        <v>293</v>
      </c>
    </row>
    <row r="524" spans="1:17" x14ac:dyDescent="0.25">
      <c r="A524" s="7" t="s">
        <v>294</v>
      </c>
      <c r="D524">
        <v>555</v>
      </c>
      <c r="E524" t="s">
        <v>72</v>
      </c>
      <c r="K524" t="s">
        <v>295</v>
      </c>
    </row>
    <row r="525" spans="1:17" x14ac:dyDescent="0.25">
      <c r="A525" s="7" t="s">
        <v>296</v>
      </c>
      <c r="D525">
        <v>556</v>
      </c>
      <c r="E525" t="s">
        <v>73</v>
      </c>
      <c r="K525" t="s">
        <v>297</v>
      </c>
    </row>
    <row r="526" spans="1:17" x14ac:dyDescent="0.25">
      <c r="A526" s="7" t="s">
        <v>298</v>
      </c>
      <c r="D526">
        <v>604</v>
      </c>
      <c r="E526" t="s">
        <v>74</v>
      </c>
      <c r="K526" t="s">
        <v>274</v>
      </c>
    </row>
    <row r="527" spans="1:17" x14ac:dyDescent="0.25">
      <c r="A527" s="7" t="s">
        <v>299</v>
      </c>
      <c r="D527">
        <v>605</v>
      </c>
      <c r="E527" t="s">
        <v>75</v>
      </c>
    </row>
    <row r="528" spans="1:17" x14ac:dyDescent="0.25">
      <c r="D528">
        <v>606</v>
      </c>
      <c r="E528" t="s">
        <v>76</v>
      </c>
    </row>
    <row r="529" spans="4:11" x14ac:dyDescent="0.25">
      <c r="D529">
        <v>654</v>
      </c>
      <c r="E529" t="s">
        <v>77</v>
      </c>
    </row>
    <row r="530" spans="4:11" x14ac:dyDescent="0.25">
      <c r="D530">
        <v>655</v>
      </c>
      <c r="E530" t="s">
        <v>78</v>
      </c>
    </row>
    <row r="531" spans="4:11" x14ac:dyDescent="0.25">
      <c r="D531">
        <v>656</v>
      </c>
      <c r="E531" t="s">
        <v>79</v>
      </c>
    </row>
    <row r="532" spans="4:11" x14ac:dyDescent="0.25">
      <c r="D532">
        <v>705</v>
      </c>
      <c r="E532" t="s">
        <v>80</v>
      </c>
    </row>
    <row r="533" spans="4:11" x14ac:dyDescent="0.25">
      <c r="D533">
        <v>706</v>
      </c>
      <c r="E533" t="s">
        <v>81</v>
      </c>
    </row>
    <row r="534" spans="4:11" x14ac:dyDescent="0.25">
      <c r="D534">
        <v>755</v>
      </c>
      <c r="E534" t="s">
        <v>82</v>
      </c>
    </row>
    <row r="535" spans="4:11" x14ac:dyDescent="0.25">
      <c r="D535">
        <v>756</v>
      </c>
      <c r="E535" t="s">
        <v>83</v>
      </c>
    </row>
    <row r="536" spans="4:11" x14ac:dyDescent="0.25">
      <c r="D536">
        <v>806</v>
      </c>
      <c r="E536" t="s">
        <v>84</v>
      </c>
    </row>
    <row r="537" spans="4:11" x14ac:dyDescent="0.25">
      <c r="D537">
        <v>808</v>
      </c>
      <c r="K537" t="s">
        <v>301</v>
      </c>
    </row>
    <row r="538" spans="4:11" x14ac:dyDescent="0.25">
      <c r="D538">
        <v>906</v>
      </c>
    </row>
    <row r="539" spans="4:11" x14ac:dyDescent="0.25">
      <c r="D539">
        <v>907</v>
      </c>
    </row>
    <row r="540" spans="4:11" x14ac:dyDescent="0.25">
      <c r="D540">
        <v>908</v>
      </c>
    </row>
    <row r="541" spans="4:11" x14ac:dyDescent="0.25">
      <c r="D541">
        <v>1006</v>
      </c>
    </row>
    <row r="542" spans="4:11" x14ac:dyDescent="0.25">
      <c r="D542">
        <v>1007</v>
      </c>
    </row>
    <row r="543" spans="4:11" x14ac:dyDescent="0.25">
      <c r="D543">
        <v>1008</v>
      </c>
    </row>
    <row r="544" spans="4:11" x14ac:dyDescent="0.25">
      <c r="D544">
        <v>10010</v>
      </c>
    </row>
    <row r="545" spans="3:15" x14ac:dyDescent="0.25">
      <c r="D545">
        <v>1108</v>
      </c>
    </row>
    <row r="546" spans="3:15" x14ac:dyDescent="0.25">
      <c r="D546">
        <v>11010</v>
      </c>
    </row>
    <row r="547" spans="3:15" x14ac:dyDescent="0.25">
      <c r="D547">
        <v>1208</v>
      </c>
    </row>
    <row r="548" spans="3:15" x14ac:dyDescent="0.25">
      <c r="D548">
        <v>12010</v>
      </c>
    </row>
    <row r="549" spans="3:15" x14ac:dyDescent="0.25">
      <c r="D549">
        <v>13010</v>
      </c>
    </row>
    <row r="550" spans="3:15" x14ac:dyDescent="0.25">
      <c r="D550">
        <v>13012</v>
      </c>
    </row>
    <row r="551" spans="3:15" x14ac:dyDescent="0.25">
      <c r="D551">
        <v>15012</v>
      </c>
    </row>
    <row r="553" spans="3:15" x14ac:dyDescent="0.25">
      <c r="C553" t="s">
        <v>92</v>
      </c>
      <c r="G553" s="6"/>
    </row>
    <row r="554" spans="3:15" x14ac:dyDescent="0.25">
      <c r="G554" s="6"/>
    </row>
    <row r="555" spans="3:15" x14ac:dyDescent="0.25">
      <c r="D555" t="s">
        <v>91</v>
      </c>
      <c r="G555" s="6"/>
    </row>
    <row r="556" spans="3:15" x14ac:dyDescent="0.25">
      <c r="C556" t="s">
        <v>90</v>
      </c>
      <c r="G556" s="6"/>
    </row>
    <row r="557" spans="3:15" x14ac:dyDescent="0.25">
      <c r="C557" t="s">
        <v>1</v>
      </c>
      <c r="E557" t="str">
        <f>CONCATENATE(C557,D555,C558,D555,C559,D555,C560)</f>
        <v>IN-4.5M-RIT-MP;IN-6.0M-RIT-CR-MP;IN-6.0M-RIT-CNTR-MP;IN-9.0M-RIT-CR-MP</v>
      </c>
      <c r="G557" s="6"/>
    </row>
    <row r="558" spans="3:15" x14ac:dyDescent="0.25">
      <c r="C558" t="s">
        <v>2</v>
      </c>
      <c r="G558" s="6"/>
    </row>
    <row r="559" spans="3:15" x14ac:dyDescent="0.25">
      <c r="C559" t="s">
        <v>3</v>
      </c>
      <c r="G559" s="6"/>
      <c r="M559" s="107" t="s">
        <v>1</v>
      </c>
      <c r="N559" s="107"/>
      <c r="O559" s="107"/>
    </row>
    <row r="560" spans="3:15" x14ac:dyDescent="0.25">
      <c r="C560" t="s">
        <v>4</v>
      </c>
      <c r="G560" s="6"/>
      <c r="M560" s="2"/>
      <c r="N560" s="2"/>
      <c r="O560" s="2"/>
    </row>
    <row r="561" spans="1:14" x14ac:dyDescent="0.25">
      <c r="C561" t="s">
        <v>5</v>
      </c>
      <c r="G561" s="6"/>
    </row>
    <row r="562" spans="1:14" x14ac:dyDescent="0.25">
      <c r="C562" t="s">
        <v>3</v>
      </c>
      <c r="G562" s="6"/>
      <c r="M562" t="s">
        <v>17</v>
      </c>
    </row>
    <row r="563" spans="1:14" x14ac:dyDescent="0.25">
      <c r="C563" t="s">
        <v>2</v>
      </c>
      <c r="G563" s="6"/>
      <c r="M563" t="s">
        <v>20</v>
      </c>
      <c r="N563" t="s">
        <v>51</v>
      </c>
    </row>
    <row r="564" spans="1:14" x14ac:dyDescent="0.25">
      <c r="C564" t="s">
        <v>6</v>
      </c>
      <c r="G564" s="6"/>
      <c r="M564" t="s">
        <v>21</v>
      </c>
    </row>
    <row r="565" spans="1:14" x14ac:dyDescent="0.25">
      <c r="C565" t="s">
        <v>7</v>
      </c>
      <c r="G565" s="6"/>
    </row>
    <row r="566" spans="1:14" x14ac:dyDescent="0.25">
      <c r="C566" t="s">
        <v>8</v>
      </c>
      <c r="G566" s="6"/>
    </row>
    <row r="567" spans="1:14" x14ac:dyDescent="0.25">
      <c r="C567" t="s">
        <v>9</v>
      </c>
      <c r="G567" s="6"/>
    </row>
    <row r="568" spans="1:14" x14ac:dyDescent="0.25">
      <c r="C568" t="s">
        <v>10</v>
      </c>
      <c r="G568" s="6"/>
      <c r="N568" t="s">
        <v>85</v>
      </c>
    </row>
    <row r="569" spans="1:14" x14ac:dyDescent="0.25">
      <c r="C569" t="s">
        <v>11</v>
      </c>
      <c r="G569" s="6"/>
      <c r="N569" t="s">
        <v>50</v>
      </c>
    </row>
    <row r="570" spans="1:14" x14ac:dyDescent="0.25">
      <c r="G570" s="6"/>
      <c r="N570" t="s">
        <v>52</v>
      </c>
    </row>
    <row r="571" spans="1:14" x14ac:dyDescent="0.25">
      <c r="G571" s="6"/>
    </row>
    <row r="572" spans="1:14" x14ac:dyDescent="0.25">
      <c r="A572" s="7" t="s">
        <v>88</v>
      </c>
      <c r="C572" t="s">
        <v>89</v>
      </c>
      <c r="G572" s="6"/>
    </row>
    <row r="573" spans="1:14" x14ac:dyDescent="0.25">
      <c r="A573" s="7">
        <v>405</v>
      </c>
      <c r="C573" t="s">
        <v>64</v>
      </c>
      <c r="G573" s="6"/>
      <c r="I573" s="6"/>
      <c r="K573">
        <v>0</v>
      </c>
    </row>
    <row r="574" spans="1:14" x14ac:dyDescent="0.25">
      <c r="A574" s="7">
        <v>453</v>
      </c>
      <c r="C574" t="s">
        <v>65</v>
      </c>
      <c r="G574" s="6"/>
      <c r="I574" s="6"/>
      <c r="K574">
        <v>1</v>
      </c>
    </row>
    <row r="575" spans="1:14" x14ac:dyDescent="0.25">
      <c r="A575" s="7">
        <v>454</v>
      </c>
      <c r="C575" t="s">
        <v>66</v>
      </c>
      <c r="G575" s="6"/>
      <c r="I575" s="6"/>
      <c r="K575">
        <v>2</v>
      </c>
    </row>
    <row r="576" spans="1:14" x14ac:dyDescent="0.25">
      <c r="A576" s="7">
        <v>455</v>
      </c>
      <c r="C576" t="s">
        <v>67</v>
      </c>
      <c r="G576" s="6"/>
      <c r="I576" s="6"/>
    </row>
    <row r="577" spans="1:9" x14ac:dyDescent="0.25">
      <c r="A577" s="7">
        <v>503</v>
      </c>
      <c r="C577" t="s">
        <v>68</v>
      </c>
      <c r="G577" s="6"/>
      <c r="I577" s="6"/>
    </row>
    <row r="578" spans="1:9" x14ac:dyDescent="0.25">
      <c r="A578" s="7">
        <v>504</v>
      </c>
      <c r="C578" t="s">
        <v>69</v>
      </c>
      <c r="G578" s="6"/>
      <c r="I578" s="6"/>
    </row>
    <row r="579" spans="1:9" x14ac:dyDescent="0.25">
      <c r="A579" s="7">
        <v>505</v>
      </c>
      <c r="C579" t="s">
        <v>70</v>
      </c>
      <c r="G579" s="6"/>
      <c r="I579" s="6"/>
    </row>
    <row r="580" spans="1:9" x14ac:dyDescent="0.25">
      <c r="A580" s="7">
        <v>554</v>
      </c>
      <c r="C580" t="s">
        <v>71</v>
      </c>
      <c r="G580" s="6"/>
      <c r="I580" s="6"/>
    </row>
    <row r="581" spans="1:9" x14ac:dyDescent="0.25">
      <c r="A581" s="7">
        <v>555</v>
      </c>
      <c r="C581" t="s">
        <v>72</v>
      </c>
      <c r="G581" s="6"/>
      <c r="I581" s="6"/>
    </row>
    <row r="582" spans="1:9" x14ac:dyDescent="0.25">
      <c r="A582" s="7">
        <v>556</v>
      </c>
      <c r="C582" t="s">
        <v>73</v>
      </c>
      <c r="G582" s="6"/>
      <c r="I582" s="6"/>
    </row>
    <row r="583" spans="1:9" x14ac:dyDescent="0.25">
      <c r="A583" s="7">
        <v>604</v>
      </c>
      <c r="C583" t="s">
        <v>74</v>
      </c>
      <c r="G583" s="6"/>
      <c r="I583" s="6"/>
    </row>
    <row r="584" spans="1:9" x14ac:dyDescent="0.25">
      <c r="A584" s="7">
        <v>605</v>
      </c>
      <c r="C584" t="s">
        <v>75</v>
      </c>
      <c r="G584" s="6"/>
      <c r="I584" s="6"/>
    </row>
    <row r="585" spans="1:9" x14ac:dyDescent="0.25">
      <c r="A585" s="7">
        <v>606</v>
      </c>
      <c r="C585" t="s">
        <v>76</v>
      </c>
      <c r="G585" s="6"/>
      <c r="I585" s="6"/>
    </row>
    <row r="586" spans="1:9" x14ac:dyDescent="0.25">
      <c r="A586" s="7">
        <v>654</v>
      </c>
      <c r="C586" t="s">
        <v>77</v>
      </c>
      <c r="G586" s="6"/>
      <c r="I586" s="6"/>
    </row>
    <row r="587" spans="1:9" x14ac:dyDescent="0.25">
      <c r="A587" s="7">
        <v>655</v>
      </c>
      <c r="C587" t="s">
        <v>78</v>
      </c>
      <c r="G587" s="6"/>
      <c r="I587" s="6"/>
    </row>
    <row r="588" spans="1:9" x14ac:dyDescent="0.25">
      <c r="A588" s="7">
        <v>656</v>
      </c>
      <c r="C588" t="s">
        <v>79</v>
      </c>
      <c r="G588" s="6"/>
      <c r="I588" s="6"/>
    </row>
    <row r="589" spans="1:9" x14ac:dyDescent="0.25">
      <c r="A589" s="7">
        <v>705</v>
      </c>
      <c r="C589" t="s">
        <v>80</v>
      </c>
      <c r="G589" s="6"/>
      <c r="I589" s="6"/>
    </row>
    <row r="590" spans="1:9" x14ac:dyDescent="0.25">
      <c r="A590" s="7">
        <v>706</v>
      </c>
      <c r="C590" t="s">
        <v>81</v>
      </c>
      <c r="G590" s="6"/>
      <c r="I590" s="6"/>
    </row>
    <row r="591" spans="1:9" x14ac:dyDescent="0.25">
      <c r="A591" s="7">
        <v>755</v>
      </c>
      <c r="C591" t="s">
        <v>82</v>
      </c>
      <c r="G591" s="6"/>
      <c r="I591" s="6"/>
    </row>
    <row r="592" spans="1:9" x14ac:dyDescent="0.25">
      <c r="A592" s="7">
        <v>756</v>
      </c>
      <c r="C592" t="s">
        <v>83</v>
      </c>
      <c r="G592" s="6"/>
      <c r="I592" s="6"/>
    </row>
    <row r="593" spans="1:9" x14ac:dyDescent="0.25">
      <c r="A593" s="7">
        <v>806</v>
      </c>
      <c r="C593" t="s">
        <v>84</v>
      </c>
      <c r="G593" s="6"/>
      <c r="I593" s="6"/>
    </row>
    <row r="594" spans="1:9" x14ac:dyDescent="0.25">
      <c r="A594" s="7">
        <v>808</v>
      </c>
      <c r="G594" s="6"/>
      <c r="I594" s="6"/>
    </row>
    <row r="595" spans="1:9" x14ac:dyDescent="0.25">
      <c r="A595" s="7">
        <v>906</v>
      </c>
      <c r="G595" s="6"/>
      <c r="I595" s="6"/>
    </row>
    <row r="596" spans="1:9" x14ac:dyDescent="0.25">
      <c r="A596" s="7">
        <v>907</v>
      </c>
      <c r="G596" s="6"/>
      <c r="I596" s="6"/>
    </row>
    <row r="597" spans="1:9" x14ac:dyDescent="0.25">
      <c r="A597" s="7">
        <v>908</v>
      </c>
      <c r="G597" s="6"/>
      <c r="I597" s="6"/>
    </row>
    <row r="598" spans="1:9" x14ac:dyDescent="0.25">
      <c r="A598" s="7">
        <v>1006</v>
      </c>
      <c r="G598" s="6"/>
      <c r="I598" s="6"/>
    </row>
    <row r="599" spans="1:9" x14ac:dyDescent="0.25">
      <c r="A599" s="7">
        <v>1007</v>
      </c>
      <c r="G599" s="6"/>
      <c r="I599" s="6"/>
    </row>
    <row r="600" spans="1:9" x14ac:dyDescent="0.25">
      <c r="A600" s="7">
        <v>1008</v>
      </c>
      <c r="G600" s="6"/>
      <c r="I600" s="6"/>
    </row>
    <row r="601" spans="1:9" x14ac:dyDescent="0.25">
      <c r="A601" s="7">
        <v>10010</v>
      </c>
      <c r="G601" s="6"/>
      <c r="I601" s="6"/>
    </row>
    <row r="602" spans="1:9" x14ac:dyDescent="0.25">
      <c r="A602" s="7">
        <v>1108</v>
      </c>
      <c r="G602" s="6"/>
      <c r="I602" s="6"/>
    </row>
    <row r="603" spans="1:9" x14ac:dyDescent="0.25">
      <c r="A603" s="7">
        <v>11010</v>
      </c>
      <c r="G603" s="6"/>
      <c r="I603" s="6"/>
    </row>
    <row r="604" spans="1:9" x14ac:dyDescent="0.25">
      <c r="A604" s="7">
        <v>1208</v>
      </c>
      <c r="G604" s="6"/>
      <c r="I604" s="6"/>
    </row>
    <row r="605" spans="1:9" x14ac:dyDescent="0.25">
      <c r="A605" s="7">
        <v>12010</v>
      </c>
      <c r="G605" s="6"/>
      <c r="I605" s="6"/>
    </row>
    <row r="606" spans="1:9" x14ac:dyDescent="0.25">
      <c r="A606" s="7">
        <v>13010</v>
      </c>
      <c r="G606" s="6"/>
      <c r="I606" s="6"/>
    </row>
    <row r="607" spans="1:9" x14ac:dyDescent="0.25">
      <c r="A607" s="7">
        <v>13012</v>
      </c>
      <c r="G607" s="6"/>
      <c r="I607" s="6"/>
    </row>
    <row r="608" spans="1:9" x14ac:dyDescent="0.25">
      <c r="A608" s="7">
        <v>15012</v>
      </c>
      <c r="G608" s="6"/>
      <c r="I608" s="6"/>
    </row>
    <row r="609" spans="7:9" x14ac:dyDescent="0.25">
      <c r="G609" s="6"/>
      <c r="I609" s="6"/>
    </row>
    <row r="610" spans="7:9" x14ac:dyDescent="0.25">
      <c r="G610" s="6"/>
      <c r="I610" s="6"/>
    </row>
    <row r="611" spans="7:9" x14ac:dyDescent="0.25">
      <c r="G611" s="6"/>
      <c r="I611" s="6"/>
    </row>
    <row r="612" spans="7:9" x14ac:dyDescent="0.25">
      <c r="G612" s="6"/>
      <c r="I612" s="6"/>
    </row>
  </sheetData>
  <sheetProtection formatCells="0" formatColumns="0" formatRows="0" insertColumns="0" insertRows="0" deleteColumns="0" deleteRows="0"/>
  <mergeCells count="414">
    <mergeCell ref="S223:T223"/>
    <mergeCell ref="U223:V223"/>
    <mergeCell ref="W223:X223"/>
    <mergeCell ref="Y223:Z223"/>
    <mergeCell ref="M559:O559"/>
    <mergeCell ref="Y222:Z222"/>
    <mergeCell ref="A223:B223"/>
    <mergeCell ref="C223:D223"/>
    <mergeCell ref="E223:F223"/>
    <mergeCell ref="G223:H223"/>
    <mergeCell ref="I223:J223"/>
    <mergeCell ref="K223:L223"/>
    <mergeCell ref="M223:N223"/>
    <mergeCell ref="O223:P223"/>
    <mergeCell ref="Q223:R223"/>
    <mergeCell ref="M222:N222"/>
    <mergeCell ref="O222:P222"/>
    <mergeCell ref="Q222:R222"/>
    <mergeCell ref="S222:T222"/>
    <mergeCell ref="U222:V222"/>
    <mergeCell ref="W222:X222"/>
    <mergeCell ref="A228:B228"/>
    <mergeCell ref="C228:D228"/>
    <mergeCell ref="E228:F228"/>
    <mergeCell ref="S221:T221"/>
    <mergeCell ref="U221:V221"/>
    <mergeCell ref="W221:X221"/>
    <mergeCell ref="Y221:Z221"/>
    <mergeCell ref="A222:B222"/>
    <mergeCell ref="C222:D222"/>
    <mergeCell ref="E222:F222"/>
    <mergeCell ref="G222:H222"/>
    <mergeCell ref="I222:J222"/>
    <mergeCell ref="K222:L222"/>
    <mergeCell ref="A221:B221"/>
    <mergeCell ref="C221:D221"/>
    <mergeCell ref="E221:F221"/>
    <mergeCell ref="G221:H221"/>
    <mergeCell ref="I221:J221"/>
    <mergeCell ref="K221:L221"/>
    <mergeCell ref="M221:N221"/>
    <mergeCell ref="O221:P221"/>
    <mergeCell ref="Q221:R221"/>
    <mergeCell ref="S219:T219"/>
    <mergeCell ref="U219:V219"/>
    <mergeCell ref="W219:X219"/>
    <mergeCell ref="Y219:Z219"/>
    <mergeCell ref="A220:B220"/>
    <mergeCell ref="C220:D220"/>
    <mergeCell ref="E220:F220"/>
    <mergeCell ref="G220:H220"/>
    <mergeCell ref="I220:J220"/>
    <mergeCell ref="K220:L220"/>
    <mergeCell ref="Y220:Z220"/>
    <mergeCell ref="M220:N220"/>
    <mergeCell ref="O220:P220"/>
    <mergeCell ref="Q220:R220"/>
    <mergeCell ref="S220:T220"/>
    <mergeCell ref="U220:V220"/>
    <mergeCell ref="W220:X220"/>
    <mergeCell ref="A219:B219"/>
    <mergeCell ref="C219:D219"/>
    <mergeCell ref="E219:F219"/>
    <mergeCell ref="G219:H219"/>
    <mergeCell ref="I219:J219"/>
    <mergeCell ref="K219:L219"/>
    <mergeCell ref="M219:N219"/>
    <mergeCell ref="O219:P219"/>
    <mergeCell ref="Q219:R219"/>
    <mergeCell ref="S217:T217"/>
    <mergeCell ref="U217:V217"/>
    <mergeCell ref="W217:X217"/>
    <mergeCell ref="Y217:Z217"/>
    <mergeCell ref="A218:B218"/>
    <mergeCell ref="C218:D218"/>
    <mergeCell ref="E218:F218"/>
    <mergeCell ref="G218:H218"/>
    <mergeCell ref="I218:J218"/>
    <mergeCell ref="K218:L218"/>
    <mergeCell ref="Y218:Z218"/>
    <mergeCell ref="M218:N218"/>
    <mergeCell ref="O218:P218"/>
    <mergeCell ref="Q218:R218"/>
    <mergeCell ref="S218:T218"/>
    <mergeCell ref="U218:V218"/>
    <mergeCell ref="W218:X218"/>
    <mergeCell ref="A217:B217"/>
    <mergeCell ref="C217:D217"/>
    <mergeCell ref="E217:F217"/>
    <mergeCell ref="G217:H217"/>
    <mergeCell ref="I217:J217"/>
    <mergeCell ref="K217:L217"/>
    <mergeCell ref="M217:N217"/>
    <mergeCell ref="O217:P217"/>
    <mergeCell ref="Q217:R217"/>
    <mergeCell ref="S215:T215"/>
    <mergeCell ref="U215:V215"/>
    <mergeCell ref="W215:X215"/>
    <mergeCell ref="Y215:Z215"/>
    <mergeCell ref="A216:B216"/>
    <mergeCell ref="C216:D216"/>
    <mergeCell ref="E216:F216"/>
    <mergeCell ref="G216:H216"/>
    <mergeCell ref="I216:J216"/>
    <mergeCell ref="K216:L216"/>
    <mergeCell ref="Y216:Z216"/>
    <mergeCell ref="M216:N216"/>
    <mergeCell ref="O216:P216"/>
    <mergeCell ref="Q216:R216"/>
    <mergeCell ref="S216:T216"/>
    <mergeCell ref="U216:V216"/>
    <mergeCell ref="W216:X216"/>
    <mergeCell ref="A215:B215"/>
    <mergeCell ref="C215:D215"/>
    <mergeCell ref="E215:F215"/>
    <mergeCell ref="G215:H215"/>
    <mergeCell ref="I215:J215"/>
    <mergeCell ref="K215:L215"/>
    <mergeCell ref="M215:N215"/>
    <mergeCell ref="O215:P215"/>
    <mergeCell ref="Q215:R215"/>
    <mergeCell ref="S213:T213"/>
    <mergeCell ref="U213:V213"/>
    <mergeCell ref="W213:X213"/>
    <mergeCell ref="Y213:Z213"/>
    <mergeCell ref="A214:B214"/>
    <mergeCell ref="C214:D214"/>
    <mergeCell ref="E214:F214"/>
    <mergeCell ref="G214:H214"/>
    <mergeCell ref="I214:J214"/>
    <mergeCell ref="K214:L214"/>
    <mergeCell ref="Y214:Z214"/>
    <mergeCell ref="M214:N214"/>
    <mergeCell ref="O214:P214"/>
    <mergeCell ref="Q214:R214"/>
    <mergeCell ref="S214:T214"/>
    <mergeCell ref="U214:V214"/>
    <mergeCell ref="W214:X214"/>
    <mergeCell ref="A213:B213"/>
    <mergeCell ref="C213:D213"/>
    <mergeCell ref="E213:F213"/>
    <mergeCell ref="G213:H213"/>
    <mergeCell ref="I213:J213"/>
    <mergeCell ref="K213:L213"/>
    <mergeCell ref="M213:N213"/>
    <mergeCell ref="O213:P213"/>
    <mergeCell ref="Q213:R213"/>
    <mergeCell ref="S211:T211"/>
    <mergeCell ref="U211:V211"/>
    <mergeCell ref="W211:X211"/>
    <mergeCell ref="Y211:Z211"/>
    <mergeCell ref="A212:B212"/>
    <mergeCell ref="C212:D212"/>
    <mergeCell ref="E212:F212"/>
    <mergeCell ref="G212:H212"/>
    <mergeCell ref="I212:J212"/>
    <mergeCell ref="K212:L212"/>
    <mergeCell ref="Y212:Z212"/>
    <mergeCell ref="M212:N212"/>
    <mergeCell ref="O212:P212"/>
    <mergeCell ref="Q212:R212"/>
    <mergeCell ref="S212:T212"/>
    <mergeCell ref="U212:V212"/>
    <mergeCell ref="W212:X212"/>
    <mergeCell ref="A211:B211"/>
    <mergeCell ref="C211:D211"/>
    <mergeCell ref="E211:F211"/>
    <mergeCell ref="G211:H211"/>
    <mergeCell ref="I211:J211"/>
    <mergeCell ref="K211:L211"/>
    <mergeCell ref="M211:N211"/>
    <mergeCell ref="O211:P211"/>
    <mergeCell ref="Q211:R211"/>
    <mergeCell ref="S209:T209"/>
    <mergeCell ref="U209:V209"/>
    <mergeCell ref="W209:X209"/>
    <mergeCell ref="Y209:Z209"/>
    <mergeCell ref="A210:B210"/>
    <mergeCell ref="C210:D210"/>
    <mergeCell ref="E210:F210"/>
    <mergeCell ref="G210:H210"/>
    <mergeCell ref="I210:J210"/>
    <mergeCell ref="K210:L210"/>
    <mergeCell ref="Y210:Z210"/>
    <mergeCell ref="M210:N210"/>
    <mergeCell ref="O210:P210"/>
    <mergeCell ref="Q210:R210"/>
    <mergeCell ref="S210:T210"/>
    <mergeCell ref="U210:V210"/>
    <mergeCell ref="W210:X210"/>
    <mergeCell ref="A209:B209"/>
    <mergeCell ref="C209:D209"/>
    <mergeCell ref="E209:F209"/>
    <mergeCell ref="G209:H209"/>
    <mergeCell ref="I209:J209"/>
    <mergeCell ref="K209:L209"/>
    <mergeCell ref="M209:N209"/>
    <mergeCell ref="O209:P209"/>
    <mergeCell ref="Q209:R209"/>
    <mergeCell ref="U207:V207"/>
    <mergeCell ref="W207:X207"/>
    <mergeCell ref="Y207:Z207"/>
    <mergeCell ref="A208:B208"/>
    <mergeCell ref="C208:D208"/>
    <mergeCell ref="E208:F208"/>
    <mergeCell ref="G208:H208"/>
    <mergeCell ref="I208:J208"/>
    <mergeCell ref="K208:L208"/>
    <mergeCell ref="Y208:Z208"/>
    <mergeCell ref="M208:N208"/>
    <mergeCell ref="O208:P208"/>
    <mergeCell ref="Q208:R208"/>
    <mergeCell ref="S208:T208"/>
    <mergeCell ref="U208:V208"/>
    <mergeCell ref="W208:X208"/>
    <mergeCell ref="R13:R14"/>
    <mergeCell ref="Y206:Z206"/>
    <mergeCell ref="A207:B207"/>
    <mergeCell ref="C207:D207"/>
    <mergeCell ref="E207:F207"/>
    <mergeCell ref="G207:H207"/>
    <mergeCell ref="I207:J207"/>
    <mergeCell ref="K207:L207"/>
    <mergeCell ref="M207:N207"/>
    <mergeCell ref="O207:P207"/>
    <mergeCell ref="Q207:R207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S207:T207"/>
    <mergeCell ref="AE58:AJ58"/>
    <mergeCell ref="H23:K24"/>
    <mergeCell ref="L23:L24"/>
    <mergeCell ref="N23:Q24"/>
    <mergeCell ref="R23:R24"/>
    <mergeCell ref="H28:K29"/>
    <mergeCell ref="L28:L29"/>
    <mergeCell ref="N28:Q29"/>
    <mergeCell ref="R28:R29"/>
    <mergeCell ref="G58:L58"/>
    <mergeCell ref="M58:R58"/>
    <mergeCell ref="S58:X58"/>
    <mergeCell ref="Y58:AD58"/>
    <mergeCell ref="O35:S35"/>
    <mergeCell ref="S228:T228"/>
    <mergeCell ref="U228:V228"/>
    <mergeCell ref="W228:X228"/>
    <mergeCell ref="I2:J2"/>
    <mergeCell ref="C3:D3"/>
    <mergeCell ref="E3:G3"/>
    <mergeCell ref="I3:J3"/>
    <mergeCell ref="A5:C5"/>
    <mergeCell ref="H8:K9"/>
    <mergeCell ref="A21:E21"/>
    <mergeCell ref="B23:E23"/>
    <mergeCell ref="B24:E24"/>
    <mergeCell ref="B25:E25"/>
    <mergeCell ref="B26:E26"/>
    <mergeCell ref="B27:E27"/>
    <mergeCell ref="B28:E28"/>
    <mergeCell ref="A33:C33"/>
    <mergeCell ref="A58:F58"/>
    <mergeCell ref="L8:L9"/>
    <mergeCell ref="N8:Q9"/>
    <mergeCell ref="R8:R9"/>
    <mergeCell ref="H13:K14"/>
    <mergeCell ref="L13:L14"/>
    <mergeCell ref="N13:Q14"/>
    <mergeCell ref="K230:L230"/>
    <mergeCell ref="M230:N230"/>
    <mergeCell ref="O230:P230"/>
    <mergeCell ref="Q230:R230"/>
    <mergeCell ref="Y228:Z228"/>
    <mergeCell ref="A229:B229"/>
    <mergeCell ref="C229:D229"/>
    <mergeCell ref="E229:F229"/>
    <mergeCell ref="G229:H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Y229:Z229"/>
    <mergeCell ref="G228:H228"/>
    <mergeCell ref="I228:J228"/>
    <mergeCell ref="K228:L228"/>
    <mergeCell ref="M228:N228"/>
    <mergeCell ref="O228:P228"/>
    <mergeCell ref="Q228:R228"/>
    <mergeCell ref="O232:P232"/>
    <mergeCell ref="Q232:R232"/>
    <mergeCell ref="S230:T230"/>
    <mergeCell ref="U230:V230"/>
    <mergeCell ref="W230:X230"/>
    <mergeCell ref="Y230:Z230"/>
    <mergeCell ref="A231:B231"/>
    <mergeCell ref="C231:D231"/>
    <mergeCell ref="E231:F231"/>
    <mergeCell ref="G231:H231"/>
    <mergeCell ref="I231:J231"/>
    <mergeCell ref="K231:L231"/>
    <mergeCell ref="M231:N231"/>
    <mergeCell ref="O231:P231"/>
    <mergeCell ref="Q231:R231"/>
    <mergeCell ref="S231:T231"/>
    <mergeCell ref="U231:V231"/>
    <mergeCell ref="W231:X231"/>
    <mergeCell ref="Y231:Z231"/>
    <mergeCell ref="A230:B230"/>
    <mergeCell ref="C230:D230"/>
    <mergeCell ref="E230:F230"/>
    <mergeCell ref="G230:H230"/>
    <mergeCell ref="I230:J230"/>
    <mergeCell ref="S232:T232"/>
    <mergeCell ref="U232:V232"/>
    <mergeCell ref="W232:X232"/>
    <mergeCell ref="Y232:Z232"/>
    <mergeCell ref="A233:B233"/>
    <mergeCell ref="C233:D233"/>
    <mergeCell ref="E233:F233"/>
    <mergeCell ref="G233:H233"/>
    <mergeCell ref="I233:J233"/>
    <mergeCell ref="K233:L233"/>
    <mergeCell ref="M233:N233"/>
    <mergeCell ref="O233:P233"/>
    <mergeCell ref="Q233:R233"/>
    <mergeCell ref="S233:T233"/>
    <mergeCell ref="U233:V233"/>
    <mergeCell ref="W233:X233"/>
    <mergeCell ref="Y233:Z233"/>
    <mergeCell ref="A232:B232"/>
    <mergeCell ref="C232:D232"/>
    <mergeCell ref="E232:F232"/>
    <mergeCell ref="G232:H232"/>
    <mergeCell ref="I232:J232"/>
    <mergeCell ref="K232:L232"/>
    <mergeCell ref="M232:N232"/>
    <mergeCell ref="A234:B234"/>
    <mergeCell ref="C234:D234"/>
    <mergeCell ref="E234:F234"/>
    <mergeCell ref="G234:H234"/>
    <mergeCell ref="I234:J234"/>
    <mergeCell ref="K234:L234"/>
    <mergeCell ref="M234:N234"/>
    <mergeCell ref="O234:P234"/>
    <mergeCell ref="Q234:R234"/>
    <mergeCell ref="S234:T234"/>
    <mergeCell ref="U234:V234"/>
    <mergeCell ref="W234:X234"/>
    <mergeCell ref="Y234:Z234"/>
    <mergeCell ref="A226:B226"/>
    <mergeCell ref="C226:D226"/>
    <mergeCell ref="E226:F226"/>
    <mergeCell ref="G226:H226"/>
    <mergeCell ref="I226:J226"/>
    <mergeCell ref="K226:L226"/>
    <mergeCell ref="M226:N226"/>
    <mergeCell ref="O226:P226"/>
    <mergeCell ref="Q226:R226"/>
    <mergeCell ref="S226:T226"/>
    <mergeCell ref="U226:V226"/>
    <mergeCell ref="W226:X226"/>
    <mergeCell ref="Y226:Z226"/>
    <mergeCell ref="A227:B227"/>
    <mergeCell ref="C227:D227"/>
    <mergeCell ref="E227:F227"/>
    <mergeCell ref="G227:H227"/>
    <mergeCell ref="I227:J227"/>
    <mergeCell ref="K227:L227"/>
    <mergeCell ref="M227:N227"/>
    <mergeCell ref="K224:L224"/>
    <mergeCell ref="M224:N224"/>
    <mergeCell ref="O224:P224"/>
    <mergeCell ref="Q224:R224"/>
    <mergeCell ref="K225:L225"/>
    <mergeCell ref="M225:N225"/>
    <mergeCell ref="O225:P225"/>
    <mergeCell ref="Q225:R225"/>
    <mergeCell ref="S225:T225"/>
    <mergeCell ref="A225:B225"/>
    <mergeCell ref="C225:D225"/>
    <mergeCell ref="E225:F225"/>
    <mergeCell ref="G225:H225"/>
    <mergeCell ref="I225:J225"/>
    <mergeCell ref="A224:B224"/>
    <mergeCell ref="C224:D224"/>
    <mergeCell ref="E224:F224"/>
    <mergeCell ref="G224:H224"/>
    <mergeCell ref="I224:J224"/>
    <mergeCell ref="W225:X225"/>
    <mergeCell ref="Y225:Z225"/>
    <mergeCell ref="O227:P227"/>
    <mergeCell ref="Q227:R227"/>
    <mergeCell ref="S227:T227"/>
    <mergeCell ref="U227:V227"/>
    <mergeCell ref="W227:X227"/>
    <mergeCell ref="Y227:Z227"/>
    <mergeCell ref="S224:T224"/>
    <mergeCell ref="U224:V224"/>
    <mergeCell ref="W224:X224"/>
    <mergeCell ref="Y224:Z224"/>
    <mergeCell ref="U225:V225"/>
  </mergeCells>
  <conditionalFormatting sqref="A528:A541">
    <cfRule type="duplicateValues" dxfId="25" priority="13"/>
  </conditionalFormatting>
  <conditionalFormatting sqref="J514:O518 K519:K522 L519:O523 Q519 J519:J523">
    <cfRule type="duplicateValues" dxfId="24" priority="12"/>
  </conditionalFormatting>
  <conditionalFormatting sqref="A529:A536">
    <cfRule type="duplicateValues" dxfId="23" priority="11"/>
  </conditionalFormatting>
  <conditionalFormatting sqref="K515:K527">
    <cfRule type="duplicateValues" dxfId="22" priority="10"/>
  </conditionalFormatting>
  <conditionalFormatting sqref="D186:D193">
    <cfRule type="duplicateValues" dxfId="21" priority="9"/>
  </conditionalFormatting>
  <conditionalFormatting sqref="D186:D197">
    <cfRule type="duplicateValues" dxfId="20" priority="8"/>
  </conditionalFormatting>
  <conditionalFormatting sqref="K515:K526">
    <cfRule type="duplicateValues" dxfId="19" priority="7"/>
  </conditionalFormatting>
  <conditionalFormatting sqref="G198">
    <cfRule type="duplicateValues" dxfId="18" priority="6"/>
  </conditionalFormatting>
  <conditionalFormatting sqref="G186:G193">
    <cfRule type="duplicateValues" dxfId="17" priority="5"/>
  </conditionalFormatting>
  <conditionalFormatting sqref="G186:G198">
    <cfRule type="duplicateValues" dxfId="16" priority="4"/>
  </conditionalFormatting>
  <conditionalFormatting sqref="A527">
    <cfRule type="duplicateValues" dxfId="15" priority="3"/>
  </conditionalFormatting>
  <conditionalFormatting sqref="A515:A522">
    <cfRule type="duplicateValues" dxfId="14" priority="2"/>
  </conditionalFormatting>
  <conditionalFormatting sqref="A515:A527">
    <cfRule type="duplicateValues" dxfId="13" priority="1"/>
  </conditionalFormatting>
  <dataValidations count="9">
    <dataValidation type="list" allowBlank="1" showInputMessage="1" showErrorMessage="1" sqref="J573">
      <formula1>profile</formula1>
    </dataValidation>
    <dataValidation type="list" allowBlank="1" showInputMessage="1" showErrorMessage="1" sqref="F11">
      <formula1>$G$517:$G$519</formula1>
    </dataValidation>
    <dataValidation type="list" allowBlank="1" showInputMessage="1" showErrorMessage="1" sqref="F7">
      <formula1>$H$517:$H$518</formula1>
    </dataValidation>
    <dataValidation type="list" allowBlank="1" showInputMessage="1" showErrorMessage="1" sqref="G516 N564:N565">
      <formula1>member_type</formula1>
    </dataValidation>
    <dataValidation type="list" allowBlank="1" showInputMessage="1" showErrorMessage="1" error="please select right data" promptTitle="Select design name" sqref="E3:G3 H557:H569 M559:O559">
      <formula1>design_name_opt</formula1>
    </dataValidation>
    <dataValidation type="list" allowBlank="1" showInputMessage="1" showErrorMessage="1" sqref="R7 L7 L573 R22 L22 F23">
      <formula1>num_opt</formula1>
    </dataValidation>
    <dataValidation type="list" allowBlank="1" showInputMessage="1" showErrorMessage="1" sqref="L15 L10 R15 R10 F18 R25 L30 L25 R30">
      <formula1>sections</formula1>
    </dataValidation>
    <dataValidation type="list" allowBlank="1" showInputMessage="1" showErrorMessage="1" sqref="L16 R11 L11 F19 R16 R31 L31 R26 L26">
      <formula1>INDIRECT(SUBSTITUTE(F10," ",""))</formula1>
    </dataValidation>
    <dataValidation type="list" allowBlank="1" showInputMessage="1" showErrorMessage="1" sqref="H517:H518 F515 M563:M564">
      <formula1>bolts_type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9" r:id="rId4" name="CommandButton1">
          <controlPr defaultSize="0" autoLine="0" r:id="rId5">
            <anchor moveWithCells="1">
              <from>
                <xdr:col>5</xdr:col>
                <xdr:colOff>0</xdr:colOff>
                <xdr:row>3</xdr:row>
                <xdr:rowOff>28575</xdr:rowOff>
              </from>
              <to>
                <xdr:col>7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9229" r:id="rId4" name="CommandButton1"/>
      </mc:Fallback>
    </mc:AlternateContent>
    <mc:AlternateContent xmlns:mc="http://schemas.openxmlformats.org/markup-compatibility/2006">
      <mc:Choice Requires="x14">
        <control shapeId="9217" r:id="rId6" name="Button 1">
          <controlPr defaultSize="0" print="0" autoFill="0" autoPict="0" macro="[0]!SPOLE" altText="_x000a_Generate Script">
            <anchor moveWithCells="1" sizeWithCells="1">
              <from>
                <xdr:col>13</xdr:col>
                <xdr:colOff>200025</xdr:colOff>
                <xdr:row>2</xdr:row>
                <xdr:rowOff>66675</xdr:rowOff>
              </from>
              <to>
                <xdr:col>16</xdr:col>
                <xdr:colOff>66675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7" name="Button 9">
          <controlPr defaultSize="0" print="0" autoFill="0" autoPict="0" macro="[0]!imgroll">
            <anchor moveWithCells="1" sizeWithCells="1">
              <from>
                <xdr:col>3</xdr:col>
                <xdr:colOff>542925</xdr:colOff>
                <xdr:row>3</xdr:row>
                <xdr:rowOff>19050</xdr:rowOff>
              </from>
              <to>
                <xdr:col>4</xdr:col>
                <xdr:colOff>571500</xdr:colOff>
                <xdr:row>4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8"/>
  <sheetViews>
    <sheetView showGridLines="0" topLeftCell="A2" zoomScale="110" zoomScaleNormal="110" workbookViewId="0">
      <selection activeCell="J19" sqref="J19"/>
    </sheetView>
  </sheetViews>
  <sheetFormatPr defaultRowHeight="15" x14ac:dyDescent="0.25"/>
  <cols>
    <col min="1" max="1" width="5.7109375" customWidth="1"/>
    <col min="2" max="2" width="8.42578125" customWidth="1"/>
    <col min="4" max="4" width="8.28515625" customWidth="1"/>
    <col min="7" max="7" width="7" customWidth="1"/>
    <col min="8" max="8" width="7.5703125" customWidth="1"/>
    <col min="10" max="10" width="8.28515625" customWidth="1"/>
    <col min="11" max="11" width="7.7109375" customWidth="1"/>
    <col min="12" max="12" width="9" customWidth="1"/>
    <col min="13" max="14" width="8.42578125" customWidth="1"/>
    <col min="16" max="16" width="7.7109375" customWidth="1"/>
    <col min="18" max="18" width="10.140625" style="6" customWidth="1"/>
  </cols>
  <sheetData>
    <row r="1" spans="1:19" ht="18" hidden="1" customHeight="1" x14ac:dyDescent="0.25">
      <c r="A1" s="7"/>
      <c r="B1" s="7"/>
      <c r="C1" s="7"/>
    </row>
    <row r="2" spans="1:19" ht="23.25" customHeight="1" thickBot="1" x14ac:dyDescent="0.3">
      <c r="A2" s="28"/>
      <c r="B2" s="28"/>
      <c r="C2" s="28"/>
      <c r="D2" s="28"/>
      <c r="E2" s="28"/>
      <c r="F2" s="28"/>
      <c r="G2" s="28"/>
      <c r="H2" s="28"/>
      <c r="I2" s="68" t="s">
        <v>234</v>
      </c>
      <c r="J2" s="68"/>
      <c r="K2" s="25" t="s">
        <v>254</v>
      </c>
      <c r="L2" s="26"/>
      <c r="M2" s="28"/>
      <c r="N2" s="48"/>
      <c r="O2" s="46" t="s">
        <v>253</v>
      </c>
      <c r="P2" s="46"/>
      <c r="Q2" s="46"/>
      <c r="R2" s="47"/>
      <c r="S2" s="28"/>
    </row>
    <row r="3" spans="1:19" ht="21" customHeight="1" thickBot="1" x14ac:dyDescent="0.3">
      <c r="A3" s="28"/>
      <c r="B3" s="28"/>
      <c r="C3" s="69" t="s">
        <v>0</v>
      </c>
      <c r="D3" s="70"/>
      <c r="E3" s="71" t="s">
        <v>2</v>
      </c>
      <c r="F3" s="72"/>
      <c r="G3" s="73"/>
      <c r="H3" s="28"/>
      <c r="I3" s="74" t="s">
        <v>235</v>
      </c>
      <c r="J3" s="75"/>
      <c r="K3" s="25" t="s">
        <v>259</v>
      </c>
      <c r="L3" s="26"/>
      <c r="M3" s="28"/>
      <c r="N3" s="28"/>
      <c r="O3" s="28"/>
      <c r="P3" s="28"/>
      <c r="Q3" s="28"/>
      <c r="R3" s="28"/>
      <c r="S3" s="28"/>
    </row>
    <row r="4" spans="1:19" x14ac:dyDescent="0.25">
      <c r="A4" s="45"/>
      <c r="B4" s="45"/>
      <c r="C4" s="45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19" s="4" customFormat="1" ht="20.25" customHeight="1" thickBot="1" x14ac:dyDescent="0.3">
      <c r="A5" s="76" t="s">
        <v>12</v>
      </c>
      <c r="B5" s="77"/>
      <c r="C5" s="7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49"/>
      <c r="S5" s="28"/>
    </row>
    <row r="6" spans="1:19" ht="15.75" hidden="1" thickBo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49"/>
      <c r="S6" s="28"/>
    </row>
    <row r="7" spans="1:19" ht="15.75" thickBot="1" x14ac:dyDescent="0.3">
      <c r="A7" s="28"/>
      <c r="B7" s="36" t="s">
        <v>19</v>
      </c>
      <c r="C7" s="37"/>
      <c r="D7" s="37"/>
      <c r="E7" s="38"/>
      <c r="F7" s="29" t="s">
        <v>20</v>
      </c>
      <c r="G7" s="28"/>
      <c r="H7" s="36" t="s">
        <v>56</v>
      </c>
      <c r="I7" s="37"/>
      <c r="J7" s="37"/>
      <c r="K7" s="38"/>
      <c r="L7" s="29">
        <v>1</v>
      </c>
      <c r="M7" s="28"/>
      <c r="N7" s="36" t="s">
        <v>55</v>
      </c>
      <c r="O7" s="37"/>
      <c r="P7" s="37"/>
      <c r="Q7" s="38"/>
      <c r="R7" s="50">
        <v>0</v>
      </c>
      <c r="S7" s="28"/>
    </row>
    <row r="8" spans="1:19" ht="15" customHeight="1" x14ac:dyDescent="0.25">
      <c r="A8" s="28"/>
      <c r="B8" s="36" t="s">
        <v>18</v>
      </c>
      <c r="C8" s="37"/>
      <c r="D8" s="37"/>
      <c r="E8" s="38"/>
      <c r="F8" s="30">
        <v>6</v>
      </c>
      <c r="G8" s="28"/>
      <c r="H8" s="79" t="s">
        <v>61</v>
      </c>
      <c r="I8" s="80"/>
      <c r="J8" s="80"/>
      <c r="K8" s="81"/>
      <c r="L8" s="95">
        <v>1500</v>
      </c>
      <c r="M8" s="28"/>
      <c r="N8" s="79" t="s">
        <v>59</v>
      </c>
      <c r="O8" s="80"/>
      <c r="P8" s="80"/>
      <c r="Q8" s="81"/>
      <c r="R8" s="97">
        <v>1500</v>
      </c>
      <c r="S8" s="28"/>
    </row>
    <row r="9" spans="1:19" ht="15.75" thickBot="1" x14ac:dyDescent="0.3">
      <c r="A9" s="28"/>
      <c r="B9" s="36" t="s">
        <v>22</v>
      </c>
      <c r="C9" s="37"/>
      <c r="D9" s="37"/>
      <c r="E9" s="38"/>
      <c r="F9" s="27">
        <v>6</v>
      </c>
      <c r="G9" s="28"/>
      <c r="H9" s="82"/>
      <c r="I9" s="83"/>
      <c r="J9" s="83"/>
      <c r="K9" s="84"/>
      <c r="L9" s="96"/>
      <c r="M9" s="28"/>
      <c r="N9" s="82"/>
      <c r="O9" s="83"/>
      <c r="P9" s="83"/>
      <c r="Q9" s="84"/>
      <c r="R9" s="98"/>
      <c r="S9" s="28"/>
    </row>
    <row r="10" spans="1:19" ht="15.75" thickBot="1" x14ac:dyDescent="0.3">
      <c r="A10" s="28"/>
      <c r="B10" s="28"/>
      <c r="C10" s="28"/>
      <c r="D10" s="28"/>
      <c r="E10" s="28"/>
      <c r="F10" s="31"/>
      <c r="G10" s="28"/>
      <c r="H10" s="36" t="s">
        <v>62</v>
      </c>
      <c r="I10" s="37"/>
      <c r="J10" s="37"/>
      <c r="K10" s="38"/>
      <c r="L10" s="29" t="s">
        <v>52</v>
      </c>
      <c r="M10" s="28"/>
      <c r="N10" s="36" t="s">
        <v>58</v>
      </c>
      <c r="O10" s="37"/>
      <c r="P10" s="37"/>
      <c r="Q10" s="38"/>
      <c r="R10" s="50" t="s">
        <v>52</v>
      </c>
      <c r="S10" s="28"/>
    </row>
    <row r="11" spans="1:19" ht="15.75" thickBot="1" x14ac:dyDescent="0.3">
      <c r="A11" s="28"/>
      <c r="B11" s="36" t="s">
        <v>43</v>
      </c>
      <c r="C11" s="37"/>
      <c r="D11" s="37"/>
      <c r="E11" s="38"/>
      <c r="F11" s="29">
        <v>1</v>
      </c>
      <c r="G11" s="28"/>
      <c r="H11" s="36" t="s">
        <v>63</v>
      </c>
      <c r="I11" s="37"/>
      <c r="J11" s="37"/>
      <c r="K11" s="38"/>
      <c r="L11" s="29" t="s">
        <v>64</v>
      </c>
      <c r="M11" s="28"/>
      <c r="N11" s="36" t="s">
        <v>60</v>
      </c>
      <c r="O11" s="37"/>
      <c r="P11" s="37"/>
      <c r="Q11" s="38"/>
      <c r="R11" s="50" t="s">
        <v>64</v>
      </c>
      <c r="S11" s="28"/>
    </row>
    <row r="12" spans="1:19" x14ac:dyDescent="0.25">
      <c r="A12" s="28"/>
      <c r="B12" s="36" t="s">
        <v>45</v>
      </c>
      <c r="C12" s="37"/>
      <c r="D12" s="37"/>
      <c r="E12" s="38"/>
      <c r="F12" s="32">
        <v>2200</v>
      </c>
      <c r="G12" s="28"/>
      <c r="H12" s="28"/>
      <c r="I12" s="28"/>
      <c r="J12" s="28"/>
      <c r="K12" s="28"/>
      <c r="L12" s="31"/>
      <c r="M12" s="28"/>
      <c r="N12" s="28"/>
      <c r="O12" s="28"/>
      <c r="P12" s="28"/>
      <c r="Q12" s="28"/>
      <c r="R12" s="49"/>
      <c r="S12" s="28"/>
    </row>
    <row r="13" spans="1:19" ht="15" customHeight="1" x14ac:dyDescent="0.25">
      <c r="A13" s="28"/>
      <c r="B13" s="36" t="s">
        <v>44</v>
      </c>
      <c r="C13" s="37"/>
      <c r="D13" s="37"/>
      <c r="E13" s="38"/>
      <c r="F13" s="33">
        <v>3800</v>
      </c>
      <c r="G13" s="28"/>
      <c r="H13" s="79" t="s">
        <v>61</v>
      </c>
      <c r="I13" s="80"/>
      <c r="J13" s="80"/>
      <c r="K13" s="81"/>
      <c r="L13" s="98">
        <v>2500</v>
      </c>
      <c r="M13" s="28"/>
      <c r="N13" s="79" t="s">
        <v>57</v>
      </c>
      <c r="O13" s="80"/>
      <c r="P13" s="80"/>
      <c r="Q13" s="81"/>
      <c r="R13" s="99">
        <v>2500</v>
      </c>
      <c r="S13" s="28"/>
    </row>
    <row r="14" spans="1:19" ht="15.75" thickBot="1" x14ac:dyDescent="0.3">
      <c r="A14" s="28"/>
      <c r="B14" s="36" t="s">
        <v>46</v>
      </c>
      <c r="C14" s="37"/>
      <c r="D14" s="37"/>
      <c r="E14" s="38"/>
      <c r="F14" s="33">
        <v>300</v>
      </c>
      <c r="G14" s="28"/>
      <c r="H14" s="82"/>
      <c r="I14" s="83"/>
      <c r="J14" s="83"/>
      <c r="K14" s="84"/>
      <c r="L14" s="96"/>
      <c r="M14" s="28"/>
      <c r="N14" s="82"/>
      <c r="O14" s="83"/>
      <c r="P14" s="83"/>
      <c r="Q14" s="84"/>
      <c r="R14" s="100"/>
      <c r="S14" s="28"/>
    </row>
    <row r="15" spans="1:19" ht="15.75" thickBot="1" x14ac:dyDescent="0.3">
      <c r="A15" s="28"/>
      <c r="B15" s="36" t="s">
        <v>47</v>
      </c>
      <c r="C15" s="37"/>
      <c r="D15" s="37"/>
      <c r="E15" s="38"/>
      <c r="F15" s="33">
        <v>300</v>
      </c>
      <c r="G15" s="28"/>
      <c r="H15" s="36" t="s">
        <v>62</v>
      </c>
      <c r="I15" s="37"/>
      <c r="J15" s="37"/>
      <c r="K15" s="38"/>
      <c r="L15" s="29" t="s">
        <v>52</v>
      </c>
      <c r="M15" s="28"/>
      <c r="N15" s="36" t="s">
        <v>58</v>
      </c>
      <c r="O15" s="37"/>
      <c r="P15" s="37"/>
      <c r="Q15" s="38"/>
      <c r="R15" s="50" t="s">
        <v>52</v>
      </c>
      <c r="S15" s="28"/>
    </row>
    <row r="16" spans="1:19" ht="15.75" thickBot="1" x14ac:dyDescent="0.3">
      <c r="A16" s="28"/>
      <c r="B16" s="36" t="s">
        <v>48</v>
      </c>
      <c r="C16" s="37"/>
      <c r="D16" s="37"/>
      <c r="E16" s="38"/>
      <c r="F16" s="33">
        <v>90</v>
      </c>
      <c r="G16" s="28"/>
      <c r="H16" s="36" t="s">
        <v>63</v>
      </c>
      <c r="I16" s="37"/>
      <c r="J16" s="37"/>
      <c r="K16" s="38"/>
      <c r="L16" s="29" t="s">
        <v>64</v>
      </c>
      <c r="M16" s="28"/>
      <c r="N16" s="36" t="s">
        <v>60</v>
      </c>
      <c r="O16" s="37"/>
      <c r="P16" s="37"/>
      <c r="Q16" s="38"/>
      <c r="R16" s="50" t="s">
        <v>64</v>
      </c>
      <c r="S16" s="28"/>
    </row>
    <row r="17" spans="1:19" ht="15.75" thickBot="1" x14ac:dyDescent="0.3">
      <c r="A17" s="28"/>
      <c r="B17" s="36" t="s">
        <v>49</v>
      </c>
      <c r="C17" s="37"/>
      <c r="D17" s="37"/>
      <c r="E17" s="38"/>
      <c r="F17" s="34">
        <v>20</v>
      </c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49"/>
      <c r="S17" s="28"/>
    </row>
    <row r="18" spans="1:19" ht="15.75" thickBot="1" x14ac:dyDescent="0.3">
      <c r="A18" s="28"/>
      <c r="B18" s="36" t="s">
        <v>53</v>
      </c>
      <c r="C18" s="37"/>
      <c r="D18" s="37"/>
      <c r="E18" s="38"/>
      <c r="F18" s="29" t="s">
        <v>52</v>
      </c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49"/>
      <c r="S18" s="28"/>
    </row>
    <row r="19" spans="1:19" ht="15.75" thickBot="1" x14ac:dyDescent="0.3">
      <c r="A19" s="28"/>
      <c r="B19" s="36" t="s">
        <v>54</v>
      </c>
      <c r="C19" s="37"/>
      <c r="D19" s="37"/>
      <c r="E19" s="38"/>
      <c r="F19" s="29" t="s">
        <v>67</v>
      </c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49"/>
      <c r="S19" s="28"/>
    </row>
    <row r="20" spans="1:19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49"/>
      <c r="S20" s="28"/>
    </row>
    <row r="21" spans="1:19" ht="15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49"/>
      <c r="S21" s="28"/>
    </row>
    <row r="22" spans="1:19" ht="15.75" customHeight="1" x14ac:dyDescent="0.25">
      <c r="A22" s="28"/>
      <c r="B22" s="28" t="s">
        <v>45</v>
      </c>
      <c r="C22" s="28"/>
      <c r="D22" s="28"/>
      <c r="E22" s="28"/>
      <c r="F22" s="28"/>
      <c r="G22" s="28"/>
      <c r="H22" s="28" t="s">
        <v>55</v>
      </c>
      <c r="I22" s="28"/>
      <c r="J22" s="28"/>
      <c r="K22" s="28"/>
      <c r="L22" s="28"/>
      <c r="M22" s="28"/>
      <c r="N22" s="28" t="s">
        <v>56</v>
      </c>
      <c r="O22" s="28"/>
      <c r="P22" s="28"/>
      <c r="Q22" s="28"/>
      <c r="R22" s="49"/>
      <c r="S22" s="28"/>
    </row>
    <row r="23" spans="1:19" ht="15" customHeight="1" x14ac:dyDescent="0.25">
      <c r="A23" s="28"/>
      <c r="B23" s="28" t="s">
        <v>44</v>
      </c>
      <c r="C23" s="28"/>
      <c r="D23" s="28"/>
      <c r="E23" s="28"/>
      <c r="F23" s="28"/>
      <c r="G23" s="28"/>
      <c r="H23" s="28" t="s">
        <v>59</v>
      </c>
      <c r="I23" s="28"/>
      <c r="J23" s="28"/>
      <c r="K23" s="28"/>
      <c r="L23" s="28"/>
      <c r="M23" s="28"/>
      <c r="N23" s="28" t="s">
        <v>61</v>
      </c>
      <c r="O23" s="28"/>
      <c r="P23" s="28"/>
      <c r="Q23" s="28"/>
      <c r="R23" s="49"/>
      <c r="S23" s="28"/>
    </row>
    <row r="24" spans="1:19" ht="15" customHeight="1" x14ac:dyDescent="0.25">
      <c r="A24" s="28"/>
      <c r="B24" s="28" t="s">
        <v>46</v>
      </c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49"/>
      <c r="S24" s="28"/>
    </row>
    <row r="25" spans="1:19" ht="15.75" customHeight="1" x14ac:dyDescent="0.25">
      <c r="A25" s="28"/>
      <c r="B25" s="28" t="s">
        <v>47</v>
      </c>
      <c r="C25" s="28"/>
      <c r="D25" s="28"/>
      <c r="E25" s="28"/>
      <c r="F25" s="28"/>
      <c r="G25" s="28"/>
      <c r="H25" s="28" t="s">
        <v>58</v>
      </c>
      <c r="I25" s="28"/>
      <c r="J25" s="28"/>
      <c r="K25" s="28"/>
      <c r="L25" s="28"/>
      <c r="M25" s="28"/>
      <c r="N25" s="28" t="s">
        <v>62</v>
      </c>
      <c r="O25" s="28"/>
      <c r="P25" s="28"/>
      <c r="Q25" s="28"/>
      <c r="R25" s="49"/>
      <c r="S25" s="28"/>
    </row>
    <row r="26" spans="1:19" ht="15.75" customHeight="1" x14ac:dyDescent="0.25">
      <c r="A26" s="28"/>
      <c r="B26" s="28" t="s">
        <v>48</v>
      </c>
      <c r="C26" s="28"/>
      <c r="D26" s="28"/>
      <c r="E26" s="28"/>
      <c r="F26" s="28"/>
      <c r="G26" s="28"/>
      <c r="H26" s="28" t="s">
        <v>60</v>
      </c>
      <c r="I26" s="28"/>
      <c r="J26" s="28"/>
      <c r="K26" s="28"/>
      <c r="L26" s="28"/>
      <c r="M26" s="28"/>
      <c r="N26" s="28" t="s">
        <v>63</v>
      </c>
      <c r="O26" s="28"/>
      <c r="P26" s="28"/>
      <c r="Q26" s="28"/>
      <c r="R26" s="49"/>
      <c r="S26" s="28"/>
    </row>
    <row r="27" spans="1:19" ht="15" customHeight="1" x14ac:dyDescent="0.25">
      <c r="A27" s="28"/>
      <c r="B27" s="28" t="s">
        <v>49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49"/>
      <c r="S27" s="28"/>
    </row>
    <row r="28" spans="1:19" ht="15.75" customHeight="1" x14ac:dyDescent="0.25">
      <c r="A28" s="28"/>
      <c r="B28" s="28" t="s">
        <v>53</v>
      </c>
      <c r="C28" s="28"/>
      <c r="D28" s="28"/>
      <c r="E28" s="28"/>
      <c r="F28" s="28"/>
      <c r="G28" s="28"/>
      <c r="H28" s="28" t="s">
        <v>57</v>
      </c>
      <c r="I28" s="28"/>
      <c r="J28" s="28"/>
      <c r="K28" s="28"/>
      <c r="L28" s="28"/>
      <c r="M28" s="28"/>
      <c r="N28" s="28" t="s">
        <v>61</v>
      </c>
      <c r="O28" s="28"/>
      <c r="P28" s="28"/>
      <c r="Q28" s="28"/>
      <c r="R28" s="49"/>
      <c r="S28" s="28"/>
    </row>
    <row r="29" spans="1:19" ht="15.75" customHeight="1" x14ac:dyDescent="0.25">
      <c r="A29" s="28"/>
      <c r="B29" s="28" t="s">
        <v>54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49"/>
      <c r="S29" s="28"/>
    </row>
    <row r="30" spans="1:19" ht="15.75" customHeight="1" x14ac:dyDescent="0.25">
      <c r="A30" s="28"/>
      <c r="B30" s="28"/>
      <c r="C30" s="28"/>
      <c r="D30" s="28"/>
      <c r="E30" s="28"/>
      <c r="F30" s="28"/>
      <c r="G30" s="28"/>
      <c r="H30" s="28" t="s">
        <v>58</v>
      </c>
      <c r="I30" s="28"/>
      <c r="J30" s="28"/>
      <c r="K30" s="28"/>
      <c r="L30" s="28"/>
      <c r="M30" s="28"/>
      <c r="N30" s="28" t="s">
        <v>62</v>
      </c>
      <c r="O30" s="28"/>
      <c r="P30" s="28"/>
      <c r="Q30" s="28"/>
      <c r="R30" s="49"/>
      <c r="S30" s="28"/>
    </row>
    <row r="31" spans="1:19" ht="15.75" customHeight="1" x14ac:dyDescent="0.25">
      <c r="A31" s="28"/>
      <c r="B31" s="28"/>
      <c r="C31" s="28"/>
      <c r="D31" s="28"/>
      <c r="E31" s="28"/>
      <c r="F31" s="28"/>
      <c r="G31" s="28"/>
      <c r="H31" s="28" t="s">
        <v>60</v>
      </c>
      <c r="I31" s="28"/>
      <c r="J31" s="28"/>
      <c r="K31" s="28"/>
      <c r="L31" s="28"/>
      <c r="M31" s="28"/>
      <c r="N31" s="28" t="s">
        <v>63</v>
      </c>
      <c r="O31" s="28"/>
      <c r="P31" s="28"/>
      <c r="Q31" s="28"/>
      <c r="R31" s="49"/>
      <c r="S31" s="28"/>
    </row>
    <row r="32" spans="1:19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49"/>
      <c r="S32" s="28"/>
    </row>
    <row r="33" spans="1:23" s="4" customFormat="1" ht="20.25" customHeight="1" x14ac:dyDescent="0.25">
      <c r="A33" s="91" t="s">
        <v>13</v>
      </c>
      <c r="B33" s="91"/>
      <c r="C33" s="91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49"/>
      <c r="S33" s="28"/>
      <c r="T33"/>
      <c r="U33"/>
      <c r="V33"/>
      <c r="W33"/>
    </row>
    <row r="34" spans="1:23" hidden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49"/>
      <c r="S34" s="28"/>
    </row>
    <row r="35" spans="1:23" x14ac:dyDescent="0.25">
      <c r="A35" s="28"/>
      <c r="B35" s="39" t="s">
        <v>26</v>
      </c>
      <c r="C35" s="40"/>
      <c r="D35" s="41"/>
      <c r="E35" s="43">
        <f>IF($E$3=$A$206,$A$207,IF($E$3=$C$206,$C$207,IF($E$3=$E$206,$E$207,IF($E$3=$G$206,$G$207,IF($E$3=$I$206,$I$207,IF($E$3=$K$206,$K$207,IF($E$3=$M$206,$M$207,IF($E$3=$O$206,$O$207,IF($E$3=$Q$206,$Q$207,IF($E$3=$S$206,$S$207,IF($E$3=$U$206,$U$207,IF($E$3=$W$206,$W$207,IF($E$3=$Y$206,$Y$207)))))))))))))</f>
        <v>1</v>
      </c>
      <c r="F35" s="28"/>
      <c r="G35" s="28"/>
      <c r="H35" s="28"/>
      <c r="I35" s="39" t="s">
        <v>33</v>
      </c>
      <c r="J35" s="40"/>
      <c r="K35" s="40"/>
      <c r="L35" s="41"/>
      <c r="M35" s="42">
        <v>1</v>
      </c>
      <c r="N35" s="28"/>
      <c r="O35" s="28"/>
      <c r="P35" s="28"/>
      <c r="Q35" s="28"/>
      <c r="R35" s="49"/>
      <c r="S35" s="28"/>
    </row>
    <row r="36" spans="1:23" x14ac:dyDescent="0.25">
      <c r="A36" s="28"/>
      <c r="B36" s="39" t="s">
        <v>14</v>
      </c>
      <c r="C36" s="40"/>
      <c r="D36" s="41"/>
      <c r="E36" s="43">
        <f>IF($E$3=$A$206,$A$208,IF($E$3=$C$206,$C$208,IF($E$3=$E$206,$E$208,IF($E$3=$G$206,$G$208,IF($E$3=$I$206,$I$208,IF($E$3=$K$206,$K$208,IF($E$3=$M$206,$M$208,IF($E$3=$O$206,$O$208,IF($E$3=$Q$206,$Q$208,IF($E$3=$S$206,$S$208,IF($E$3=$U$206,$U$208,IF($E$3=$W$206,$W$208,IF($E$3=$Y$206,$Y$208)))))))))))))</f>
        <v>200</v>
      </c>
      <c r="F36" s="28"/>
      <c r="G36" s="28"/>
      <c r="H36" s="28"/>
      <c r="I36" s="39" t="s">
        <v>35</v>
      </c>
      <c r="J36" s="40"/>
      <c r="K36" s="40"/>
      <c r="L36" s="41"/>
      <c r="M36" s="42">
        <f>IF($E$3=$A$206,$A$217,IF($E$3=$C$206,$C$217,IF($E$3=$E$206,$E$217,IF($E$3=$G$206,$G$217,IF($E$3=$I$206,$I$217,IF($E$3=$K$206,$K$217,IF($E$3=$M$206,$M$217,IF($E$3=$O$206,$O$217,IF($E$3=$Q$206,$Q$217,IF($E$3=$S$206,$S$217,IF($E$3=$U$206,$U$217,IF($E$3=$W$206,$W$217,IF($E$3=$Y$206,$Y$217)))))))))))))</f>
        <v>1500</v>
      </c>
      <c r="N36" s="28"/>
      <c r="O36" s="28"/>
      <c r="P36" s="28"/>
      <c r="Q36" s="28"/>
      <c r="R36" s="49"/>
      <c r="S36" s="28"/>
    </row>
    <row r="37" spans="1:23" x14ac:dyDescent="0.25">
      <c r="A37" s="28"/>
      <c r="B37" s="39" t="s">
        <v>15</v>
      </c>
      <c r="C37" s="40"/>
      <c r="D37" s="41"/>
      <c r="E37" s="42">
        <f>IF($E$3=$A$206,$A$209,IF($E$3=$C$206,$C$209,IF($E$3=$E$206,$E$209,IF($E$3=$G$206,$G$209,IF($E$3=$I$206,$I$209,IF($E$3=$K$206,$K$209,IF($E$3=$M$206,$M$209,IF($E$3=$O$206,$O$209,IF($E$3=$Q$206,$Q$209,IF($E$3=$S$206,$S$209,IF($E$3=$U$206,$U$209,IF($E$3=$W$206,$W$209,IF($E$3=$Y$206,$Y$209)))))))))))))</f>
        <v>200</v>
      </c>
      <c r="F37" s="28"/>
      <c r="G37" s="28"/>
      <c r="H37" s="28"/>
      <c r="I37" s="39" t="s">
        <v>34</v>
      </c>
      <c r="J37" s="40"/>
      <c r="K37" s="40"/>
      <c r="L37" s="41"/>
      <c r="M37" s="42">
        <f>IF($E$3=$A$206,$A$218,IF($E$3=$C$206,$C$218,IF($E$3=$E$206,$E$218,IF($E$3=$G$206,$G$218,IF($E$3=$I$206,$I$218,IF($E$3=$K$206,$K$218,IF($E$3=$M$206,$M$218,IF($E$3=$O$206,$O$218,IF($E$3=$Q$206,$Q$218,IF($E$3=$S$206,$S$218,IF($E$3=$U$206,$U$218,IF($E$3=$W$206,$W$218,IF($E$3=$Y$206,$Y$218)))))))))))))</f>
        <v>4000</v>
      </c>
      <c r="N37" s="28"/>
      <c r="O37" s="28"/>
      <c r="P37" s="28"/>
      <c r="Q37" s="28"/>
      <c r="R37" s="49"/>
      <c r="S37" s="28"/>
    </row>
    <row r="38" spans="1:23" x14ac:dyDescent="0.25">
      <c r="A38" s="28"/>
      <c r="B38" s="39" t="s">
        <v>23</v>
      </c>
      <c r="C38" s="40"/>
      <c r="D38" s="41"/>
      <c r="E38" s="42">
        <f>IF($E$3=$A$206,$A$210,IF($E$3=$C$206,$C$210,IF($E$3=$E$206,$E$210,IF($E$3=$G$206,$G$210,IF($E$3=$I$206,$I$210,IF($E$3=$K$206,$K$210,IF($E$3=$M$206,$M$210,IF($E$3=$O$206,$O$210,IF($E$3=$Q$206,$Q$210,IF($E$3=$S$206,$S$210,IF($E$3=$U$206,$U$210,IF($E$3=$W$206,$W$210,IF($E$3=$Y$206,$Y$210)))))))))))))</f>
        <v>6000</v>
      </c>
      <c r="F38" s="28"/>
      <c r="G38" s="28"/>
      <c r="H38" s="28"/>
      <c r="I38" s="39" t="s">
        <v>36</v>
      </c>
      <c r="J38" s="40"/>
      <c r="K38" s="40"/>
      <c r="L38" s="41"/>
      <c r="M38" s="42">
        <f>IF($E$3=$A$206,$A$219,IF($E$3=$C$206,$C$219,IF($E$3=$E$206,$E$219,IF($E$3=$G$206,$G$219,IF($E$3=$I$206,$I$219,IF($E$3=$K$206,$K$219,IF($E$3=$M$206,$M$219,IF($E$3=$O$206,$O$219,IF($E$3=$Q$206,$Q$219,IF($E$3=$S$206,$S$219,IF($E$3=$U$206,$U$219,IF($E$3=$W$206,$W$219,IF($E$3=$Y$206,$Y$219)))))))))))))</f>
        <v>300</v>
      </c>
      <c r="N38" s="28"/>
      <c r="O38" s="28"/>
      <c r="P38" s="28"/>
      <c r="Q38" s="28"/>
      <c r="R38" s="49"/>
      <c r="S38" s="28"/>
    </row>
    <row r="39" spans="1:23" x14ac:dyDescent="0.25">
      <c r="A39" s="28"/>
      <c r="B39" s="39" t="s">
        <v>27</v>
      </c>
      <c r="C39" s="40"/>
      <c r="D39" s="41"/>
      <c r="E39" s="42">
        <f>IF($E$3=$A$206,$A$211,IF($E$3=$C$206,$C$211,IF($E$3=$E$206,$E$211,IF($E$3=$G$206,$G$211,IF($E$3=$I$206,$I$211,IF($E$3=$K$206,$K$211,IF($E$3=$M$206,$M$211,IF($E$3=$O$206,$O$211,IF($E$3=$Q$206,$Q$211,IF($E$3=$S$206,$S$211,IF($E$3=$U$206,$U$211,IF($E$3=$W$206,$W$211,IF($E$3=$Y$206,$Y$211)))))))))))))</f>
        <v>2500</v>
      </c>
      <c r="F39" s="28"/>
      <c r="G39" s="28"/>
      <c r="H39" s="28"/>
      <c r="I39" s="39" t="s">
        <v>37</v>
      </c>
      <c r="J39" s="40"/>
      <c r="K39" s="40"/>
      <c r="L39" s="41"/>
      <c r="M39" s="42">
        <f>IF($E$3=$A$206,$A$220,IF($E$3=$C$206,$C$220,IF($E$3=$E$206,$E$220,IF($E$3=$G$206,$G$220,IF($E$3=$I$206,$I$220,IF($E$3=$K$206,$K$220,IF($E$3=$M$206,$M$220,IF($E$3=$O$206,$O$220,IF($E$3=$Q$206,$Q$220,IF($E$3=$S$206,$S$220,IF($E$3=$U$206,$U$220,IF($E$3=$W$206,$W$220,IF($E$3=$Y$206,$Y$220)))))))))))))</f>
        <v>300</v>
      </c>
      <c r="N39" s="28"/>
      <c r="O39" s="28"/>
      <c r="P39" s="28"/>
      <c r="Q39" s="28"/>
      <c r="R39" s="49"/>
      <c r="S39" s="28"/>
    </row>
    <row r="40" spans="1:23" x14ac:dyDescent="0.25">
      <c r="A40" s="28"/>
      <c r="B40" s="39" t="s">
        <v>24</v>
      </c>
      <c r="C40" s="40"/>
      <c r="D40" s="41"/>
      <c r="E40" s="42">
        <f>IF($E$3=$A$206,$A$212,IF($E$3=$C$206,$C$212,IF($E$3=$E$206,$E$212,IF($E$3=$G$206,$G$212,IF($E$3=$I$206,$I$212,IF($E$3=$K$206,$K$212,IF($E$3=$M$206,$M$212,IF($E$3=$O$206,$O$212,IF($E$3=$Q$206,$Q$212,IF($E$3=$S$206,$S$212,IF($E$3=$U$206,$U$212,IF($E$3=$W$206,$W$212,IF($E$3=$Y$206,$Y$212)))))))))))))</f>
        <v>0</v>
      </c>
      <c r="F40" s="28"/>
      <c r="G40" s="28"/>
      <c r="H40" s="28"/>
      <c r="I40" s="39" t="s">
        <v>38</v>
      </c>
      <c r="J40" s="40"/>
      <c r="K40" s="40"/>
      <c r="L40" s="41"/>
      <c r="M40" s="42">
        <f>IF($E$3=$A$206,$A$221,IF($E$3=$C$206,$C$221,IF($E$3=$E$206,$E$221,IF($E$3=$G$206,$G$221,IF($E$3=$I$206,$I$221,IF($E$3=$K$206,$K$221,IF($E$3=$M$206,$M$221,IF($E$3=$O$206,$O$221,IF($E$3=$Q$206,$Q$221,IF($E$3=$S$206,$S$221,IF($E$3=$U$206,$U$221,IF($E$3=$W$206,$W$221,IF($E$3=$Y$206,$Y$221)))))))))))))</f>
        <v>90</v>
      </c>
      <c r="N40" s="28"/>
      <c r="O40" s="28"/>
      <c r="P40" s="28"/>
      <c r="Q40" s="28"/>
      <c r="R40" s="49"/>
      <c r="S40" s="28"/>
    </row>
    <row r="41" spans="1:23" x14ac:dyDescent="0.25">
      <c r="A41" s="28"/>
      <c r="B41" s="39" t="s">
        <v>25</v>
      </c>
      <c r="C41" s="40"/>
      <c r="D41" s="41"/>
      <c r="E41" s="42">
        <f>IF($E$3=$A$206,$A$213,IF($E$3=$C$206,$C$213,IF($E$3=$E$206,$E$213,IF($E$3=$G$206,$G$213,IF($E$3=$I$206,$I$213,IF($E$3=$K$206,$K$213,IF($E$3=$M$206,$M$213,IF($E$3=$O$206,$O$213,IF($E$3=$Q$206,$Q$213,IF($E$3=$S$206,$S$213,IF($E$3=$U$206,$U$213,IF($E$3=$W$206,$W$213,IF($E$3=$Y$206,$Y$213)))))))))))))</f>
        <v>0</v>
      </c>
      <c r="F41" s="28"/>
      <c r="G41" s="28"/>
      <c r="H41" s="28"/>
      <c r="I41" s="39" t="s">
        <v>39</v>
      </c>
      <c r="J41" s="40"/>
      <c r="K41" s="40"/>
      <c r="L41" s="41"/>
      <c r="M41" s="42" t="str">
        <f>IF($E$3=$A$206,$A$222,IF($E$3=$C$206,$C$222,IF($E$3=$E$206,$E$222,IF($E$3=$G$206,$G$222,IF($E$3=$I$206,$I$222,IF($E$3=$K$206,$K$222,IF($E$3=$M$206,$M$222,IF($E$3=$O$206,$O$222,IF($E$3=$Q$206,$Q$222,IF($E$3=$S$206,$S$222,IF($E$3=$U$206,$U$222,IF($E$3=$W$206,$W$222,IF($E$3=$Y$206,$Y$222)))))))))))))</f>
        <v>A</v>
      </c>
      <c r="N41" s="28"/>
      <c r="O41" s="28"/>
      <c r="P41" s="28"/>
      <c r="Q41" s="28"/>
      <c r="R41" s="49"/>
      <c r="S41" s="28"/>
    </row>
    <row r="42" spans="1:23" x14ac:dyDescent="0.25">
      <c r="A42" s="28"/>
      <c r="B42" s="28"/>
      <c r="C42" s="28"/>
      <c r="D42" s="28"/>
      <c r="E42" s="44" t="s">
        <v>32</v>
      </c>
      <c r="F42" s="5" t="s">
        <v>31</v>
      </c>
      <c r="G42" s="28"/>
      <c r="H42" s="28"/>
      <c r="I42" s="39" t="s">
        <v>40</v>
      </c>
      <c r="J42" s="40"/>
      <c r="K42" s="40"/>
      <c r="L42" s="41"/>
      <c r="M42" s="42">
        <f>IF($E$3=$A$206,$A$223,IF($E$3=$C$206,$C$223,IF($E$3=$E$206,$E$223,IF($E$3=$G$206,$G$223,IF($E$3=$I$206,$I$223,IF($E$3=$K$206,$K$223,IF($E$3=$M$206,$M$223,IF($E$3=$O$206,$O$223,IF($E$3=$Q$206,$Q$223,IF($E$3=$S$206,$S$223,IF($E$3=$U$206,$U$223,IF($E$3=$W$206,$W$223,IF($E$3=$Y$206,$Y$223)))))))))))))</f>
        <v>655</v>
      </c>
      <c r="N42" s="28"/>
      <c r="O42" s="28"/>
      <c r="P42" s="28"/>
      <c r="Q42" s="28"/>
      <c r="R42" s="49"/>
      <c r="S42" s="28"/>
    </row>
    <row r="43" spans="1:23" x14ac:dyDescent="0.25">
      <c r="A43" s="28"/>
      <c r="B43" s="39" t="s">
        <v>28</v>
      </c>
      <c r="C43" s="40"/>
      <c r="D43" s="41"/>
      <c r="E43" s="42">
        <f>IF($E$3=$A$206,$A$214,IF($E$3=$C$206,$C$214,IF($E$3=$E$206,$E$214,IF($E$3=$G$206,$G$214,IF($E$3=$I$206,$I$214,IF($E$3=$K$206,$K$214,IF($E$3=$M$206,$M$214,IF($E$3=$O$206,$O$214,IF($E$3=$Q$206,$Q$214,IF($E$3=$S$206,$S$214,IF($E$3=$U$206,$U$214,IF($E$3=$W$206,$W$214,IF($E$3=$Y$206,$Y$214)))))))))))))</f>
        <v>88.9</v>
      </c>
      <c r="F43" s="35">
        <v>3.6</v>
      </c>
      <c r="G43" s="28"/>
      <c r="H43" s="28"/>
      <c r="I43" s="39" t="s">
        <v>42</v>
      </c>
      <c r="J43" s="40"/>
      <c r="K43" s="40"/>
      <c r="L43" s="41"/>
      <c r="M43" s="42">
        <v>0</v>
      </c>
      <c r="N43" s="28"/>
      <c r="O43" s="28"/>
      <c r="P43" s="28"/>
      <c r="Q43" s="28"/>
      <c r="R43" s="49"/>
      <c r="S43" s="28"/>
    </row>
    <row r="44" spans="1:23" x14ac:dyDescent="0.25">
      <c r="A44" s="28"/>
      <c r="B44" s="39" t="s">
        <v>29</v>
      </c>
      <c r="C44" s="40"/>
      <c r="D44" s="41"/>
      <c r="E44" s="42">
        <f>IF($E$3=$A$206,$A$215,IF($E$3=$C$206,$C$215,IF($E$3=$E$206,$E$215,IF($E$3=$G$206,$G$215,IF($E$3=$I$206,$I$215,IF($E$3=$K$206,$K$215,IF($E$3=$M$206,$M$215,IF($E$3=$O$206,$O$215,IF($E$3=$Q$206,$Q$215,IF($E$3=$S$206,$S$215,IF($E$3=$U$206,$U$215,IF($E$3=$W$206,$W$215,IF($E$3=$Y$206,$Y$215)))))))))))))</f>
        <v>88.9</v>
      </c>
      <c r="F44" s="35">
        <v>3.2</v>
      </c>
      <c r="G44" s="28"/>
      <c r="H44" s="28"/>
      <c r="I44" s="39" t="s">
        <v>41</v>
      </c>
      <c r="J44" s="40"/>
      <c r="K44" s="40"/>
      <c r="L44" s="41"/>
      <c r="M44" s="42">
        <v>0</v>
      </c>
      <c r="N44" s="28"/>
      <c r="O44" s="28"/>
      <c r="P44" s="28"/>
      <c r="Q44" s="28"/>
      <c r="R44" s="49"/>
      <c r="S44" s="28"/>
    </row>
    <row r="45" spans="1:23" x14ac:dyDescent="0.25">
      <c r="A45" s="28"/>
      <c r="B45" s="39" t="s">
        <v>30</v>
      </c>
      <c r="C45" s="40"/>
      <c r="D45" s="41"/>
      <c r="E45" s="42">
        <f>IF($E$3=$A$206,$A$216,IF($E$3=$C$206,$C$216,IF($E$3=$E$206,$E$216,IF($E$3=$G$206,$G$216,IF($E$3=$I$206,$I$216,IF($E$3=$K$206,$K$216,IF($E$3=$M$206,$M$216,IF($E$3=$O$206,$O$216,IF($E$3=$Q$206,$Q$216,IF($E$3=$S$206,$S$216,IF($E$3=$U$206,$U$216,IF($E$3=$W$206,$W$216,IF($E$3=$Y$206,$Y$216)))))))))))))</f>
        <v>0</v>
      </c>
      <c r="F45" s="35">
        <v>3.2</v>
      </c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49"/>
      <c r="S45" s="28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49"/>
      <c r="S46" s="28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49"/>
      <c r="S47" s="28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49"/>
      <c r="S48" s="28"/>
    </row>
    <row r="49" spans="1:3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49"/>
      <c r="S49" s="28"/>
    </row>
    <row r="54" spans="1:30" x14ac:dyDescent="0.25">
      <c r="F54" s="1"/>
    </row>
    <row r="57" spans="1:30" ht="15.75" thickBot="1" x14ac:dyDescent="0.3">
      <c r="A57" s="3" t="s">
        <v>96</v>
      </c>
      <c r="B57" s="3" t="s">
        <v>101</v>
      </c>
      <c r="C57" s="3" t="s">
        <v>102</v>
      </c>
      <c r="G57" s="3" t="s">
        <v>97</v>
      </c>
      <c r="H57" s="3" t="s">
        <v>103</v>
      </c>
      <c r="I57" s="3" t="s">
        <v>102</v>
      </c>
      <c r="M57" s="3" t="s">
        <v>98</v>
      </c>
      <c r="N57" s="3" t="s">
        <v>103</v>
      </c>
      <c r="O57" s="3" t="s">
        <v>104</v>
      </c>
      <c r="S57" s="3" t="s">
        <v>99</v>
      </c>
      <c r="T57" s="3" t="s">
        <v>105</v>
      </c>
      <c r="U57" s="3" t="s">
        <v>102</v>
      </c>
      <c r="Y57" s="3" t="s">
        <v>99</v>
      </c>
      <c r="Z57" s="3" t="s">
        <v>105</v>
      </c>
      <c r="AA57" s="3" t="s">
        <v>106</v>
      </c>
    </row>
    <row r="58" spans="1:30" x14ac:dyDescent="0.25">
      <c r="A58" s="92" t="s">
        <v>96</v>
      </c>
      <c r="B58" s="93"/>
      <c r="C58" s="93"/>
      <c r="D58" s="93"/>
      <c r="E58" s="93"/>
      <c r="F58" s="94"/>
      <c r="G58" s="92" t="s">
        <v>97</v>
      </c>
      <c r="H58" s="93"/>
      <c r="I58" s="93"/>
      <c r="J58" s="93"/>
      <c r="K58" s="93"/>
      <c r="L58" s="93"/>
      <c r="M58" s="92" t="s">
        <v>98</v>
      </c>
      <c r="N58" s="93"/>
      <c r="O58" s="93"/>
      <c r="P58" s="93"/>
      <c r="Q58" s="93"/>
      <c r="R58" s="93"/>
      <c r="S58" s="92" t="s">
        <v>99</v>
      </c>
      <c r="T58" s="93"/>
      <c r="U58" s="93"/>
      <c r="V58" s="93"/>
      <c r="W58" s="93"/>
      <c r="X58" s="93"/>
      <c r="Y58" s="92" t="s">
        <v>100</v>
      </c>
      <c r="Z58" s="93"/>
      <c r="AA58" s="93"/>
      <c r="AB58" s="93"/>
      <c r="AC58" s="93"/>
      <c r="AD58" s="94"/>
    </row>
    <row r="59" spans="1:30" s="8" customFormat="1" x14ac:dyDescent="0.25">
      <c r="A59" s="13" t="s">
        <v>93</v>
      </c>
      <c r="B59" s="9"/>
      <c r="C59" s="9" t="s">
        <v>94</v>
      </c>
      <c r="D59" s="9"/>
      <c r="E59" s="9" t="s">
        <v>95</v>
      </c>
      <c r="F59" s="14"/>
      <c r="G59" s="13" t="s">
        <v>93</v>
      </c>
      <c r="H59" s="9"/>
      <c r="I59" s="9" t="s">
        <v>94</v>
      </c>
      <c r="J59" s="9"/>
      <c r="K59" s="9" t="s">
        <v>95</v>
      </c>
      <c r="L59" s="9"/>
      <c r="M59" s="13" t="s">
        <v>93</v>
      </c>
      <c r="N59" s="9"/>
      <c r="O59" s="9" t="s">
        <v>94</v>
      </c>
      <c r="P59" s="9"/>
      <c r="Q59" s="9" t="s">
        <v>95</v>
      </c>
      <c r="R59" s="51"/>
      <c r="S59" s="13" t="s">
        <v>93</v>
      </c>
      <c r="T59" s="9"/>
      <c r="U59" s="9" t="s">
        <v>94</v>
      </c>
      <c r="V59" s="9"/>
      <c r="W59" s="9" t="s">
        <v>95</v>
      </c>
      <c r="X59" s="9"/>
      <c r="Y59" s="13" t="s">
        <v>93</v>
      </c>
      <c r="Z59" s="9"/>
      <c r="AA59" s="9" t="s">
        <v>94</v>
      </c>
      <c r="AB59" s="9"/>
      <c r="AC59" s="9" t="s">
        <v>95</v>
      </c>
      <c r="AD59" s="14"/>
    </row>
    <row r="60" spans="1:30" x14ac:dyDescent="0.25">
      <c r="A60" s="15" t="s">
        <v>86</v>
      </c>
      <c r="B60" s="7"/>
      <c r="C60" s="15" t="s">
        <v>86</v>
      </c>
      <c r="D60" s="6"/>
      <c r="E60" s="15" t="s">
        <v>86</v>
      </c>
      <c r="F60" s="16"/>
      <c r="G60" s="15" t="s">
        <v>86</v>
      </c>
      <c r="H60" s="7"/>
      <c r="I60" s="15" t="s">
        <v>86</v>
      </c>
      <c r="J60" s="7"/>
      <c r="K60" s="15" t="s">
        <v>86</v>
      </c>
      <c r="L60" s="7"/>
      <c r="M60" s="15" t="s">
        <v>86</v>
      </c>
      <c r="N60" s="7"/>
      <c r="O60" s="15" t="s">
        <v>86</v>
      </c>
      <c r="P60" s="7"/>
      <c r="Q60" s="15" t="s">
        <v>86</v>
      </c>
      <c r="R60" s="52"/>
      <c r="S60" s="15" t="s">
        <v>86</v>
      </c>
      <c r="T60" s="7"/>
      <c r="U60" s="15" t="s">
        <v>86</v>
      </c>
      <c r="V60" s="7"/>
      <c r="W60" s="15" t="s">
        <v>86</v>
      </c>
      <c r="X60" s="7"/>
      <c r="Y60" s="15" t="s">
        <v>86</v>
      </c>
      <c r="Z60" s="7"/>
      <c r="AA60" s="15" t="s">
        <v>86</v>
      </c>
      <c r="AB60" s="7"/>
      <c r="AC60" s="15" t="s">
        <v>86</v>
      </c>
      <c r="AD60" s="16"/>
    </row>
    <row r="61" spans="1:30" x14ac:dyDescent="0.25">
      <c r="A61" s="15" t="s">
        <v>16</v>
      </c>
      <c r="B61" s="7"/>
      <c r="C61" s="15" t="s">
        <v>16</v>
      </c>
      <c r="D61" s="6"/>
      <c r="E61" s="15" t="s">
        <v>16</v>
      </c>
      <c r="F61" s="16"/>
      <c r="G61" s="15" t="s">
        <v>16</v>
      </c>
      <c r="H61" s="7"/>
      <c r="I61" s="15" t="s">
        <v>16</v>
      </c>
      <c r="J61" s="7"/>
      <c r="K61" s="15" t="s">
        <v>16</v>
      </c>
      <c r="L61" s="7"/>
      <c r="M61" s="15" t="s">
        <v>16</v>
      </c>
      <c r="N61" s="7"/>
      <c r="O61" s="15" t="s">
        <v>16</v>
      </c>
      <c r="P61" s="7"/>
      <c r="Q61" s="15" t="s">
        <v>16</v>
      </c>
      <c r="R61" s="52"/>
      <c r="S61" s="15" t="s">
        <v>16</v>
      </c>
      <c r="T61" s="7"/>
      <c r="U61" s="15" t="s">
        <v>16</v>
      </c>
      <c r="V61" s="7"/>
      <c r="W61" s="15" t="s">
        <v>16</v>
      </c>
      <c r="X61" s="7"/>
      <c r="Y61" s="15" t="s">
        <v>16</v>
      </c>
      <c r="Z61" s="7"/>
      <c r="AA61" s="15" t="s">
        <v>16</v>
      </c>
      <c r="AB61" s="7"/>
      <c r="AC61" s="15" t="s">
        <v>16</v>
      </c>
      <c r="AD61" s="16"/>
    </row>
    <row r="62" spans="1:30" x14ac:dyDescent="0.25">
      <c r="A62" s="15" t="str">
        <f>$E$3</f>
        <v>IN-6.0M-RIT-CR-MP</v>
      </c>
      <c r="B62" s="7"/>
      <c r="C62" s="10" t="str">
        <f>$E$3</f>
        <v>IN-6.0M-RIT-CR-MP</v>
      </c>
      <c r="D62" s="6"/>
      <c r="E62" s="10" t="str">
        <f>$E$3</f>
        <v>IN-6.0M-RIT-CR-MP</v>
      </c>
      <c r="F62" s="16"/>
      <c r="G62" s="15" t="str">
        <f>$E$3</f>
        <v>IN-6.0M-RIT-CR-MP</v>
      </c>
      <c r="H62" s="7"/>
      <c r="I62" s="10" t="str">
        <f>$E$3</f>
        <v>IN-6.0M-RIT-CR-MP</v>
      </c>
      <c r="J62" s="7"/>
      <c r="K62" s="10" t="str">
        <f>$E$3</f>
        <v>IN-6.0M-RIT-CR-MP</v>
      </c>
      <c r="L62" s="7"/>
      <c r="M62" s="15" t="str">
        <f>$E$3</f>
        <v>IN-6.0M-RIT-CR-MP</v>
      </c>
      <c r="N62" s="7"/>
      <c r="O62" s="10" t="str">
        <f>$E$3</f>
        <v>IN-6.0M-RIT-CR-MP</v>
      </c>
      <c r="P62" s="7"/>
      <c r="Q62" s="10" t="str">
        <f>$E$3</f>
        <v>IN-6.0M-RIT-CR-MP</v>
      </c>
      <c r="R62" s="52"/>
      <c r="S62" s="15" t="str">
        <f>$E$3</f>
        <v>IN-6.0M-RIT-CR-MP</v>
      </c>
      <c r="T62" s="7"/>
      <c r="U62" s="10" t="str">
        <f>$E$3</f>
        <v>IN-6.0M-RIT-CR-MP</v>
      </c>
      <c r="V62" s="7"/>
      <c r="W62" s="10" t="str">
        <f>$E$3</f>
        <v>IN-6.0M-RIT-CR-MP</v>
      </c>
      <c r="X62" s="7"/>
      <c r="Y62" s="15" t="str">
        <f>$E$3</f>
        <v>IN-6.0M-RIT-CR-MP</v>
      </c>
      <c r="Z62" s="7"/>
      <c r="AA62" s="10" t="str">
        <f>$E$3</f>
        <v>IN-6.0M-RIT-CR-MP</v>
      </c>
      <c r="AB62" s="7"/>
      <c r="AC62" s="10" t="str">
        <f>$E$3</f>
        <v>IN-6.0M-RIT-CR-MP</v>
      </c>
      <c r="AD62" s="16"/>
    </row>
    <row r="63" spans="1:30" x14ac:dyDescent="0.25">
      <c r="A63" s="15">
        <f>$E$35</f>
        <v>1</v>
      </c>
      <c r="B63" s="7"/>
      <c r="C63" s="10">
        <f>$E$35</f>
        <v>1</v>
      </c>
      <c r="D63" s="6"/>
      <c r="E63" s="10">
        <f>$E$35</f>
        <v>1</v>
      </c>
      <c r="F63" s="16"/>
      <c r="G63" s="15">
        <f>$E$35</f>
        <v>1</v>
      </c>
      <c r="H63" s="7"/>
      <c r="I63" s="10">
        <f>$E$35</f>
        <v>1</v>
      </c>
      <c r="J63" s="7"/>
      <c r="K63" s="10">
        <f>$E$35</f>
        <v>1</v>
      </c>
      <c r="L63" s="7"/>
      <c r="M63" s="15">
        <f>$E$35</f>
        <v>1</v>
      </c>
      <c r="N63" s="7"/>
      <c r="O63" s="10">
        <f>$E$35</f>
        <v>1</v>
      </c>
      <c r="P63" s="7"/>
      <c r="Q63" s="10">
        <f>$E$35</f>
        <v>1</v>
      </c>
      <c r="R63" s="52"/>
      <c r="S63" s="15">
        <f>$E$35</f>
        <v>1</v>
      </c>
      <c r="T63" s="7"/>
      <c r="U63" s="10">
        <f>$E$35</f>
        <v>1</v>
      </c>
      <c r="V63" s="7"/>
      <c r="W63" s="10">
        <f>$E$35</f>
        <v>1</v>
      </c>
      <c r="X63" s="7"/>
      <c r="Y63" s="15">
        <f>$E$35</f>
        <v>1</v>
      </c>
      <c r="Z63" s="7"/>
      <c r="AA63" s="10">
        <f>$E$35</f>
        <v>1</v>
      </c>
      <c r="AB63" s="7"/>
      <c r="AC63" s="10">
        <f>$E$35</f>
        <v>1</v>
      </c>
      <c r="AD63" s="16"/>
    </row>
    <row r="64" spans="1:30" x14ac:dyDescent="0.25">
      <c r="A64" s="15" t="str">
        <f>$F$7</f>
        <v>M16</v>
      </c>
      <c r="B64" s="7"/>
      <c r="C64" s="10" t="str">
        <f>$F$7</f>
        <v>M16</v>
      </c>
      <c r="D64" s="6"/>
      <c r="E64" s="10" t="str">
        <f>$F$7</f>
        <v>M16</v>
      </c>
      <c r="F64" s="16"/>
      <c r="G64" s="15" t="str">
        <f>$F$7</f>
        <v>M16</v>
      </c>
      <c r="H64" s="7"/>
      <c r="I64" s="10" t="str">
        <f>$F$7</f>
        <v>M16</v>
      </c>
      <c r="J64" s="7"/>
      <c r="K64" s="10" t="str">
        <f>$F$7</f>
        <v>M16</v>
      </c>
      <c r="L64" s="7"/>
      <c r="M64" s="15" t="str">
        <f>$F$7</f>
        <v>M16</v>
      </c>
      <c r="N64" s="7"/>
      <c r="O64" s="10" t="str">
        <f>$F$7</f>
        <v>M16</v>
      </c>
      <c r="P64" s="7"/>
      <c r="Q64" s="10" t="str">
        <f>$F$7</f>
        <v>M16</v>
      </c>
      <c r="R64" s="52"/>
      <c r="S64" s="15" t="str">
        <f>$F$7</f>
        <v>M16</v>
      </c>
      <c r="T64" s="7"/>
      <c r="U64" s="10" t="str">
        <f>$F$7</f>
        <v>M16</v>
      </c>
      <c r="V64" s="7"/>
      <c r="W64" s="10" t="str">
        <f>$F$7</f>
        <v>M16</v>
      </c>
      <c r="X64" s="7"/>
      <c r="Y64" s="15" t="str">
        <f>$F$7</f>
        <v>M16</v>
      </c>
      <c r="Z64" s="7"/>
      <c r="AA64" s="10" t="str">
        <f>$F$7</f>
        <v>M16</v>
      </c>
      <c r="AB64" s="7"/>
      <c r="AC64" s="10" t="str">
        <f>$F$7</f>
        <v>M16</v>
      </c>
      <c r="AD64" s="16"/>
    </row>
    <row r="65" spans="1:30" x14ac:dyDescent="0.25">
      <c r="A65" s="17">
        <f>$F$8</f>
        <v>6</v>
      </c>
      <c r="B65" s="7"/>
      <c r="C65" s="11">
        <f>$F$8</f>
        <v>6</v>
      </c>
      <c r="D65" s="6"/>
      <c r="E65" s="11">
        <f>$F$8</f>
        <v>6</v>
      </c>
      <c r="F65" s="16"/>
      <c r="G65" s="17">
        <f>$F$8</f>
        <v>6</v>
      </c>
      <c r="H65" s="7"/>
      <c r="I65" s="11">
        <f>$F$8</f>
        <v>6</v>
      </c>
      <c r="J65" s="7"/>
      <c r="K65" s="11">
        <f>$F$8</f>
        <v>6</v>
      </c>
      <c r="L65" s="7"/>
      <c r="M65" s="17">
        <f>$F$8</f>
        <v>6</v>
      </c>
      <c r="N65" s="7"/>
      <c r="O65" s="11">
        <f>$F$8</f>
        <v>6</v>
      </c>
      <c r="P65" s="7"/>
      <c r="Q65" s="11">
        <f>$F$8</f>
        <v>6</v>
      </c>
      <c r="R65" s="52"/>
      <c r="S65" s="17">
        <f>$F$8</f>
        <v>6</v>
      </c>
      <c r="T65" s="7"/>
      <c r="U65" s="11">
        <f>$F$8</f>
        <v>6</v>
      </c>
      <c r="V65" s="7"/>
      <c r="W65" s="11">
        <f>$F$8</f>
        <v>6</v>
      </c>
      <c r="X65" s="7"/>
      <c r="Y65" s="17">
        <f>$F$8</f>
        <v>6</v>
      </c>
      <c r="Z65" s="7"/>
      <c r="AA65" s="11">
        <f>$F$8</f>
        <v>6</v>
      </c>
      <c r="AB65" s="7"/>
      <c r="AC65" s="11">
        <f>$F$8</f>
        <v>6</v>
      </c>
      <c r="AD65" s="16"/>
    </row>
    <row r="66" spans="1:30" x14ac:dyDescent="0.25">
      <c r="A66" s="17">
        <f>$F$9</f>
        <v>6</v>
      </c>
      <c r="B66" s="7"/>
      <c r="C66" s="11">
        <f>$F$9</f>
        <v>6</v>
      </c>
      <c r="D66" s="6"/>
      <c r="E66" s="11">
        <f>$F$9</f>
        <v>6</v>
      </c>
      <c r="F66" s="16"/>
      <c r="G66" s="17">
        <f>$F$9</f>
        <v>6</v>
      </c>
      <c r="H66" s="7"/>
      <c r="I66" s="11">
        <f>$F$9</f>
        <v>6</v>
      </c>
      <c r="J66" s="7"/>
      <c r="K66" s="11">
        <f>$F$9</f>
        <v>6</v>
      </c>
      <c r="L66" s="7"/>
      <c r="M66" s="17">
        <f>$F$9</f>
        <v>6</v>
      </c>
      <c r="N66" s="7"/>
      <c r="O66" s="11">
        <f>$F$9</f>
        <v>6</v>
      </c>
      <c r="P66" s="7"/>
      <c r="Q66" s="11">
        <f>$F$9</f>
        <v>6</v>
      </c>
      <c r="R66" s="52"/>
      <c r="S66" s="17">
        <f>$F$9</f>
        <v>6</v>
      </c>
      <c r="T66" s="7"/>
      <c r="U66" s="11">
        <f>$F$9</f>
        <v>6</v>
      </c>
      <c r="V66" s="7"/>
      <c r="W66" s="11">
        <f>$F$9</f>
        <v>6</v>
      </c>
      <c r="X66" s="7"/>
      <c r="Y66" s="17">
        <f>$F$9</f>
        <v>6</v>
      </c>
      <c r="Z66" s="7"/>
      <c r="AA66" s="11">
        <f>$F$9</f>
        <v>6</v>
      </c>
      <c r="AB66" s="7"/>
      <c r="AC66" s="11">
        <f>$F$9</f>
        <v>6</v>
      </c>
      <c r="AD66" s="16"/>
    </row>
    <row r="67" spans="1:30" x14ac:dyDescent="0.25">
      <c r="A67" s="17">
        <f>$E$36</f>
        <v>200</v>
      </c>
      <c r="B67" s="7"/>
      <c r="C67" s="11">
        <f>$E$36</f>
        <v>200</v>
      </c>
      <c r="D67" s="6"/>
      <c r="E67" s="11">
        <f>$E$36</f>
        <v>200</v>
      </c>
      <c r="F67" s="16"/>
      <c r="G67" s="17">
        <f>$E$36</f>
        <v>200</v>
      </c>
      <c r="H67" s="7"/>
      <c r="I67" s="11">
        <f>$E$36</f>
        <v>200</v>
      </c>
      <c r="J67" s="7"/>
      <c r="K67" s="11">
        <f>$E$36</f>
        <v>200</v>
      </c>
      <c r="L67" s="7"/>
      <c r="M67" s="17">
        <f>$E$36</f>
        <v>200</v>
      </c>
      <c r="N67" s="7"/>
      <c r="O67" s="11">
        <f>$E$36</f>
        <v>200</v>
      </c>
      <c r="P67" s="7"/>
      <c r="Q67" s="11">
        <f>$E$36</f>
        <v>200</v>
      </c>
      <c r="R67" s="52"/>
      <c r="S67" s="17">
        <f>$E$36</f>
        <v>200</v>
      </c>
      <c r="T67" s="7"/>
      <c r="U67" s="11">
        <f>$E$36</f>
        <v>200</v>
      </c>
      <c r="V67" s="7"/>
      <c r="W67" s="11">
        <f>$E$36</f>
        <v>200</v>
      </c>
      <c r="X67" s="7"/>
      <c r="Y67" s="17">
        <f>$E$36</f>
        <v>200</v>
      </c>
      <c r="Z67" s="7"/>
      <c r="AA67" s="11">
        <f>$E$36</f>
        <v>200</v>
      </c>
      <c r="AB67" s="7"/>
      <c r="AC67" s="11">
        <f>$E$36</f>
        <v>200</v>
      </c>
      <c r="AD67" s="16"/>
    </row>
    <row r="68" spans="1:30" x14ac:dyDescent="0.25">
      <c r="A68" s="17">
        <f>$E$37</f>
        <v>200</v>
      </c>
      <c r="B68" s="7"/>
      <c r="C68" s="11">
        <f>$E$37</f>
        <v>200</v>
      </c>
      <c r="D68" s="6"/>
      <c r="E68" s="11">
        <f>$E$37</f>
        <v>200</v>
      </c>
      <c r="F68" s="16"/>
      <c r="G68" s="17">
        <f>$E$37</f>
        <v>200</v>
      </c>
      <c r="H68" s="7"/>
      <c r="I68" s="11">
        <f>$E$37</f>
        <v>200</v>
      </c>
      <c r="J68" s="7"/>
      <c r="K68" s="11">
        <f>$E$37</f>
        <v>200</v>
      </c>
      <c r="L68" s="7"/>
      <c r="M68" s="17">
        <f>$E$37</f>
        <v>200</v>
      </c>
      <c r="N68" s="7"/>
      <c r="O68" s="11">
        <f>$E$37</f>
        <v>200</v>
      </c>
      <c r="P68" s="7"/>
      <c r="Q68" s="11">
        <f>$E$37</f>
        <v>200</v>
      </c>
      <c r="R68" s="52"/>
      <c r="S68" s="17">
        <f>$E$37</f>
        <v>200</v>
      </c>
      <c r="T68" s="7"/>
      <c r="U68" s="11">
        <f>$E$37</f>
        <v>200</v>
      </c>
      <c r="V68" s="7"/>
      <c r="W68" s="11">
        <f>$E$37</f>
        <v>200</v>
      </c>
      <c r="X68" s="7"/>
      <c r="Y68" s="17">
        <f>$E$37</f>
        <v>200</v>
      </c>
      <c r="Z68" s="7"/>
      <c r="AA68" s="11">
        <f>$E$37</f>
        <v>200</v>
      </c>
      <c r="AB68" s="7"/>
      <c r="AC68" s="11">
        <f>$E$37</f>
        <v>200</v>
      </c>
      <c r="AD68" s="16"/>
    </row>
    <row r="69" spans="1:30" x14ac:dyDescent="0.25">
      <c r="A69" s="17">
        <f>$E$38</f>
        <v>6000</v>
      </c>
      <c r="B69" s="7"/>
      <c r="C69" s="11">
        <f>$E$38</f>
        <v>6000</v>
      </c>
      <c r="D69" s="6"/>
      <c r="E69" s="11">
        <f>$E$38</f>
        <v>6000</v>
      </c>
      <c r="F69" s="16"/>
      <c r="G69" s="17">
        <f>$E$38</f>
        <v>6000</v>
      </c>
      <c r="H69" s="7"/>
      <c r="I69" s="11">
        <f>$E$38</f>
        <v>6000</v>
      </c>
      <c r="J69" s="7"/>
      <c r="K69" s="11">
        <f>$E$38</f>
        <v>6000</v>
      </c>
      <c r="L69" s="7"/>
      <c r="M69" s="17">
        <f>$E$38</f>
        <v>6000</v>
      </c>
      <c r="N69" s="7"/>
      <c r="O69" s="11">
        <f>$E$38</f>
        <v>6000</v>
      </c>
      <c r="P69" s="7"/>
      <c r="Q69" s="11">
        <f>$E$38</f>
        <v>6000</v>
      </c>
      <c r="R69" s="52"/>
      <c r="S69" s="17">
        <f>$E$38</f>
        <v>6000</v>
      </c>
      <c r="T69" s="7"/>
      <c r="U69" s="11">
        <f>$E$38</f>
        <v>6000</v>
      </c>
      <c r="V69" s="7"/>
      <c r="W69" s="11">
        <f>$E$38</f>
        <v>6000</v>
      </c>
      <c r="X69" s="7"/>
      <c r="Y69" s="17">
        <f>$E$38</f>
        <v>6000</v>
      </c>
      <c r="Z69" s="7"/>
      <c r="AA69" s="11">
        <f>$E$38</f>
        <v>6000</v>
      </c>
      <c r="AB69" s="7"/>
      <c r="AC69" s="11">
        <f>$E$38</f>
        <v>6000</v>
      </c>
      <c r="AD69" s="16"/>
    </row>
    <row r="70" spans="1:30" x14ac:dyDescent="0.25">
      <c r="A70" s="17">
        <f>$E$43</f>
        <v>88.9</v>
      </c>
      <c r="B70" s="7"/>
      <c r="C70" s="11">
        <f>$E$39</f>
        <v>2500</v>
      </c>
      <c r="D70" s="6"/>
      <c r="E70" s="11">
        <f>$E$39</f>
        <v>2500</v>
      </c>
      <c r="F70" s="16"/>
      <c r="G70" s="17">
        <f>$E$43</f>
        <v>88.9</v>
      </c>
      <c r="H70" s="7"/>
      <c r="I70" s="11">
        <f>$E$39</f>
        <v>2500</v>
      </c>
      <c r="J70" s="7"/>
      <c r="K70" s="11">
        <f>$E$39</f>
        <v>2500</v>
      </c>
      <c r="L70" s="7"/>
      <c r="M70" s="17">
        <f>$E$43</f>
        <v>88.9</v>
      </c>
      <c r="N70" s="7"/>
      <c r="O70" s="11">
        <f>$E$39</f>
        <v>2500</v>
      </c>
      <c r="P70" s="7"/>
      <c r="Q70" s="11">
        <f>$E$39</f>
        <v>2500</v>
      </c>
      <c r="R70" s="52"/>
      <c r="S70" s="17">
        <f>$E$43</f>
        <v>88.9</v>
      </c>
      <c r="T70" s="7"/>
      <c r="U70" s="11">
        <f>$E$39</f>
        <v>2500</v>
      </c>
      <c r="V70" s="7"/>
      <c r="W70" s="11">
        <f>$E$39</f>
        <v>2500</v>
      </c>
      <c r="X70" s="7"/>
      <c r="Y70" s="17">
        <f>$E$43</f>
        <v>88.9</v>
      </c>
      <c r="Z70" s="7"/>
      <c r="AA70" s="11">
        <f>$E$39</f>
        <v>2500</v>
      </c>
      <c r="AB70" s="7"/>
      <c r="AC70" s="11">
        <f>$E$39</f>
        <v>2500</v>
      </c>
      <c r="AD70" s="16"/>
    </row>
    <row r="71" spans="1:30" x14ac:dyDescent="0.25">
      <c r="A71" s="17">
        <f>$F$43</f>
        <v>3.6</v>
      </c>
      <c r="B71" s="7"/>
      <c r="C71" s="11">
        <f>$E$43</f>
        <v>88.9</v>
      </c>
      <c r="D71" s="6"/>
      <c r="E71" s="11">
        <f>$E$40</f>
        <v>0</v>
      </c>
      <c r="F71" s="16"/>
      <c r="G71" s="17">
        <f>$F$43</f>
        <v>3.6</v>
      </c>
      <c r="H71" s="7"/>
      <c r="I71" s="11">
        <f>$E$43</f>
        <v>88.9</v>
      </c>
      <c r="J71" s="7"/>
      <c r="K71" s="11">
        <f>$E$40</f>
        <v>0</v>
      </c>
      <c r="L71" s="7"/>
      <c r="M71" s="17">
        <f>$F$43</f>
        <v>3.6</v>
      </c>
      <c r="N71" s="7"/>
      <c r="O71" s="11">
        <f>$E$43</f>
        <v>88.9</v>
      </c>
      <c r="P71" s="7"/>
      <c r="Q71" s="11">
        <f>$E$40</f>
        <v>0</v>
      </c>
      <c r="R71" s="52"/>
      <c r="S71" s="17">
        <f>$F$43</f>
        <v>3.6</v>
      </c>
      <c r="T71" s="7"/>
      <c r="U71" s="11">
        <f>$E$43</f>
        <v>88.9</v>
      </c>
      <c r="V71" s="7"/>
      <c r="W71" s="11">
        <f>$E$40</f>
        <v>0</v>
      </c>
      <c r="X71" s="7"/>
      <c r="Y71" s="17">
        <f>$F$43</f>
        <v>3.6</v>
      </c>
      <c r="Z71" s="7"/>
      <c r="AA71" s="11">
        <f>$E$43</f>
        <v>88.9</v>
      </c>
      <c r="AB71" s="7"/>
      <c r="AC71" s="11">
        <f>$E$40</f>
        <v>0</v>
      </c>
      <c r="AD71" s="16"/>
    </row>
    <row r="72" spans="1:30" x14ac:dyDescent="0.25">
      <c r="A72" s="17">
        <f>$M$35</f>
        <v>1</v>
      </c>
      <c r="B72" s="7"/>
      <c r="C72" s="10">
        <f>$F$43</f>
        <v>3.6</v>
      </c>
      <c r="D72" s="6"/>
      <c r="E72" s="10">
        <f>$E$43</f>
        <v>88.9</v>
      </c>
      <c r="F72" s="16"/>
      <c r="G72" s="17">
        <f>$M$35</f>
        <v>1</v>
      </c>
      <c r="H72" s="7"/>
      <c r="I72" s="10">
        <f>$F$43</f>
        <v>3.6</v>
      </c>
      <c r="J72" s="7"/>
      <c r="K72" s="10">
        <f>$E$43</f>
        <v>88.9</v>
      </c>
      <c r="L72" s="7"/>
      <c r="M72" s="17">
        <f>$M$35</f>
        <v>1</v>
      </c>
      <c r="N72" s="7"/>
      <c r="O72" s="10">
        <f>$F$43</f>
        <v>3.6</v>
      </c>
      <c r="P72" s="7"/>
      <c r="Q72" s="10">
        <f>$E$43</f>
        <v>88.9</v>
      </c>
      <c r="R72" s="52"/>
      <c r="S72" s="17">
        <f>$M$35</f>
        <v>1</v>
      </c>
      <c r="T72" s="7"/>
      <c r="U72" s="10">
        <f>$F$43</f>
        <v>3.6</v>
      </c>
      <c r="V72" s="7"/>
      <c r="W72" s="10">
        <f>$E$43</f>
        <v>88.9</v>
      </c>
      <c r="X72" s="7"/>
      <c r="Y72" s="17">
        <f>$M$35</f>
        <v>1</v>
      </c>
      <c r="Z72" s="7"/>
      <c r="AA72" s="10">
        <f>$F$43</f>
        <v>3.6</v>
      </c>
      <c r="AB72" s="7"/>
      <c r="AC72" s="10">
        <f>$E$43</f>
        <v>88.9</v>
      </c>
      <c r="AD72" s="16"/>
    </row>
    <row r="73" spans="1:30" x14ac:dyDescent="0.25">
      <c r="A73" s="17">
        <f>$M$36</f>
        <v>1500</v>
      </c>
      <c r="B73" s="7"/>
      <c r="C73" s="10">
        <f>$E$44</f>
        <v>88.9</v>
      </c>
      <c r="D73" s="6"/>
      <c r="E73" s="10">
        <f>$F$43</f>
        <v>3.6</v>
      </c>
      <c r="F73" s="16"/>
      <c r="G73" s="17">
        <f>$M$36</f>
        <v>1500</v>
      </c>
      <c r="H73" s="7"/>
      <c r="I73" s="10">
        <f>$E$44</f>
        <v>88.9</v>
      </c>
      <c r="J73" s="7"/>
      <c r="K73" s="10">
        <f>$F$43</f>
        <v>3.6</v>
      </c>
      <c r="L73" s="7"/>
      <c r="M73" s="17">
        <f>$M$36</f>
        <v>1500</v>
      </c>
      <c r="N73" s="7"/>
      <c r="O73" s="10">
        <f>$E$44</f>
        <v>88.9</v>
      </c>
      <c r="P73" s="7"/>
      <c r="Q73" s="10">
        <f>$F$43</f>
        <v>3.6</v>
      </c>
      <c r="R73" s="52"/>
      <c r="S73" s="17">
        <f>$M$36</f>
        <v>1500</v>
      </c>
      <c r="T73" s="7"/>
      <c r="U73" s="10">
        <f>$E$44</f>
        <v>88.9</v>
      </c>
      <c r="V73" s="7"/>
      <c r="W73" s="10">
        <f>$F$43</f>
        <v>3.6</v>
      </c>
      <c r="X73" s="7"/>
      <c r="Y73" s="17">
        <f>$M$36</f>
        <v>1500</v>
      </c>
      <c r="Z73" s="7"/>
      <c r="AA73" s="10">
        <f>$E$44</f>
        <v>88.9</v>
      </c>
      <c r="AB73" s="7"/>
      <c r="AC73" s="10">
        <f>$F$43</f>
        <v>3.6</v>
      </c>
      <c r="AD73" s="16"/>
    </row>
    <row r="74" spans="1:30" x14ac:dyDescent="0.25">
      <c r="A74" s="17">
        <f>$M$37</f>
        <v>4000</v>
      </c>
      <c r="B74" s="7"/>
      <c r="C74" s="10">
        <f>$F$44</f>
        <v>3.2</v>
      </c>
      <c r="D74" s="6"/>
      <c r="E74" s="10">
        <f>$E$44</f>
        <v>88.9</v>
      </c>
      <c r="F74" s="16"/>
      <c r="G74" s="17">
        <f>$M$37</f>
        <v>4000</v>
      </c>
      <c r="H74" s="7"/>
      <c r="I74" s="10">
        <f>$F$44</f>
        <v>3.2</v>
      </c>
      <c r="J74" s="7"/>
      <c r="K74" s="10">
        <f>$E$44</f>
        <v>88.9</v>
      </c>
      <c r="L74" s="7"/>
      <c r="M74" s="17">
        <f>$M$37</f>
        <v>4000</v>
      </c>
      <c r="N74" s="7"/>
      <c r="O74" s="10">
        <f>$F$44</f>
        <v>3.2</v>
      </c>
      <c r="P74" s="7"/>
      <c r="Q74" s="10">
        <f>$E$44</f>
        <v>88.9</v>
      </c>
      <c r="R74" s="52"/>
      <c r="S74" s="17">
        <f>$M$37</f>
        <v>4000</v>
      </c>
      <c r="T74" s="7"/>
      <c r="U74" s="10">
        <f>$F$44</f>
        <v>3.2</v>
      </c>
      <c r="V74" s="7"/>
      <c r="W74" s="10">
        <f>$E$44</f>
        <v>88.9</v>
      </c>
      <c r="X74" s="7"/>
      <c r="Y74" s="17">
        <f>$M$37</f>
        <v>4000</v>
      </c>
      <c r="Z74" s="7"/>
      <c r="AA74" s="10">
        <f>$F$44</f>
        <v>3.2</v>
      </c>
      <c r="AB74" s="7"/>
      <c r="AC74" s="10">
        <f>$E$44</f>
        <v>88.9</v>
      </c>
      <c r="AD74" s="16"/>
    </row>
    <row r="75" spans="1:30" x14ac:dyDescent="0.25">
      <c r="A75" s="17">
        <f>$M$38</f>
        <v>300</v>
      </c>
      <c r="B75" s="7"/>
      <c r="C75" s="11">
        <f>$M$35</f>
        <v>1</v>
      </c>
      <c r="D75" s="6"/>
      <c r="E75" s="10">
        <f>$F$44</f>
        <v>3.2</v>
      </c>
      <c r="F75" s="16"/>
      <c r="G75" s="17">
        <f>$M$38</f>
        <v>300</v>
      </c>
      <c r="H75" s="7"/>
      <c r="I75" s="11">
        <f>$M$35</f>
        <v>1</v>
      </c>
      <c r="J75" s="7"/>
      <c r="K75" s="10">
        <f>$F$44</f>
        <v>3.2</v>
      </c>
      <c r="L75" s="7"/>
      <c r="M75" s="17">
        <f>$M$38</f>
        <v>300</v>
      </c>
      <c r="N75" s="7"/>
      <c r="O75" s="11">
        <f>$M$35</f>
        <v>1</v>
      </c>
      <c r="P75" s="7"/>
      <c r="Q75" s="10">
        <f>$F$44</f>
        <v>3.2</v>
      </c>
      <c r="R75" s="52"/>
      <c r="S75" s="17">
        <f>$M$38</f>
        <v>300</v>
      </c>
      <c r="T75" s="7"/>
      <c r="U75" s="11">
        <f>$M$35</f>
        <v>1</v>
      </c>
      <c r="V75" s="7"/>
      <c r="W75" s="10">
        <f>$F$44</f>
        <v>3.2</v>
      </c>
      <c r="X75" s="7"/>
      <c r="Y75" s="17">
        <f>$M$38</f>
        <v>300</v>
      </c>
      <c r="Z75" s="7"/>
      <c r="AA75" s="11">
        <f>$M$35</f>
        <v>1</v>
      </c>
      <c r="AB75" s="7"/>
      <c r="AC75" s="10">
        <f>$F$44</f>
        <v>3.2</v>
      </c>
      <c r="AD75" s="16"/>
    </row>
    <row r="76" spans="1:30" x14ac:dyDescent="0.25">
      <c r="A76" s="17">
        <f>$M$39</f>
        <v>300</v>
      </c>
      <c r="B76" s="7"/>
      <c r="C76" s="11">
        <f>$M$36</f>
        <v>1500</v>
      </c>
      <c r="D76" s="6"/>
      <c r="E76" s="10">
        <f>$E$45</f>
        <v>0</v>
      </c>
      <c r="F76" s="16"/>
      <c r="G76" s="17">
        <f>$M$39</f>
        <v>300</v>
      </c>
      <c r="H76" s="7"/>
      <c r="I76" s="11">
        <f>$M$36</f>
        <v>1500</v>
      </c>
      <c r="J76" s="7"/>
      <c r="K76" s="10">
        <f>$E$45</f>
        <v>0</v>
      </c>
      <c r="L76" s="7"/>
      <c r="M76" s="17">
        <f>$M$39</f>
        <v>300</v>
      </c>
      <c r="N76" s="7"/>
      <c r="O76" s="11">
        <f>$M$36</f>
        <v>1500</v>
      </c>
      <c r="P76" s="7"/>
      <c r="Q76" s="10">
        <f>$E$45</f>
        <v>0</v>
      </c>
      <c r="R76" s="52"/>
      <c r="S76" s="17">
        <f>$M$39</f>
        <v>300</v>
      </c>
      <c r="T76" s="7"/>
      <c r="U76" s="11">
        <f>$M$36</f>
        <v>1500</v>
      </c>
      <c r="V76" s="7"/>
      <c r="W76" s="10">
        <f>$E$45</f>
        <v>0</v>
      </c>
      <c r="X76" s="7"/>
      <c r="Y76" s="17">
        <f>$M$39</f>
        <v>300</v>
      </c>
      <c r="Z76" s="7"/>
      <c r="AA76" s="11">
        <f>$M$36</f>
        <v>1500</v>
      </c>
      <c r="AB76" s="7"/>
      <c r="AC76" s="10">
        <f>$E$45</f>
        <v>0</v>
      </c>
      <c r="AD76" s="16"/>
    </row>
    <row r="77" spans="1:30" x14ac:dyDescent="0.25">
      <c r="A77" s="17">
        <f>$M$40</f>
        <v>90</v>
      </c>
      <c r="B77" s="7"/>
      <c r="C77" s="11">
        <f>$M$37</f>
        <v>4000</v>
      </c>
      <c r="D77" s="6"/>
      <c r="E77" s="10">
        <f>$F$45</f>
        <v>3.2</v>
      </c>
      <c r="F77" s="16"/>
      <c r="G77" s="17">
        <f>$M$40</f>
        <v>90</v>
      </c>
      <c r="H77" s="7"/>
      <c r="I77" s="11">
        <f>$M$37</f>
        <v>4000</v>
      </c>
      <c r="J77" s="7"/>
      <c r="K77" s="10">
        <f>$F$45</f>
        <v>3.2</v>
      </c>
      <c r="L77" s="7"/>
      <c r="M77" s="17">
        <f>$M$40</f>
        <v>90</v>
      </c>
      <c r="N77" s="7"/>
      <c r="O77" s="11">
        <f>$M$37</f>
        <v>4000</v>
      </c>
      <c r="P77" s="7"/>
      <c r="Q77" s="10">
        <f>$F$45</f>
        <v>3.2</v>
      </c>
      <c r="R77" s="52"/>
      <c r="S77" s="17">
        <f>$M$40</f>
        <v>90</v>
      </c>
      <c r="T77" s="7"/>
      <c r="U77" s="11">
        <f>$M$37</f>
        <v>4000</v>
      </c>
      <c r="V77" s="7"/>
      <c r="W77" s="10">
        <f>$F$45</f>
        <v>3.2</v>
      </c>
      <c r="X77" s="7"/>
      <c r="Y77" s="17">
        <f>$M$40</f>
        <v>90</v>
      </c>
      <c r="Z77" s="7"/>
      <c r="AA77" s="11">
        <f>$M$37</f>
        <v>4000</v>
      </c>
      <c r="AB77" s="7"/>
      <c r="AC77" s="10">
        <f>$F$45</f>
        <v>3.2</v>
      </c>
      <c r="AD77" s="16"/>
    </row>
    <row r="78" spans="1:30" x14ac:dyDescent="0.25">
      <c r="A78" s="17" t="str">
        <f>$M$41</f>
        <v>A</v>
      </c>
      <c r="B78" s="7"/>
      <c r="C78" s="11">
        <f>$M$38</f>
        <v>300</v>
      </c>
      <c r="D78" s="6"/>
      <c r="E78" s="11">
        <f>$M$35</f>
        <v>1</v>
      </c>
      <c r="F78" s="16"/>
      <c r="G78" s="17" t="str">
        <f>$M$41</f>
        <v>A</v>
      </c>
      <c r="H78" s="7"/>
      <c r="I78" s="11">
        <f>$M$38</f>
        <v>300</v>
      </c>
      <c r="J78" s="7"/>
      <c r="K78" s="11">
        <f>$M$35</f>
        <v>1</v>
      </c>
      <c r="L78" s="7"/>
      <c r="M78" s="17" t="str">
        <f>$M$41</f>
        <v>A</v>
      </c>
      <c r="N78" s="7"/>
      <c r="O78" s="11">
        <f>$M$38</f>
        <v>300</v>
      </c>
      <c r="P78" s="7"/>
      <c r="Q78" s="11">
        <f>$M$35</f>
        <v>1</v>
      </c>
      <c r="R78" s="52"/>
      <c r="S78" s="17" t="str">
        <f>$M$41</f>
        <v>A</v>
      </c>
      <c r="T78" s="7"/>
      <c r="U78" s="11">
        <f>$M$38</f>
        <v>300</v>
      </c>
      <c r="V78" s="7"/>
      <c r="W78" s="11">
        <f>$M$35</f>
        <v>1</v>
      </c>
      <c r="X78" s="7"/>
      <c r="Y78" s="17" t="str">
        <f>$M$41</f>
        <v>A</v>
      </c>
      <c r="Z78" s="7"/>
      <c r="AA78" s="11">
        <f>$M$38</f>
        <v>300</v>
      </c>
      <c r="AB78" s="7"/>
      <c r="AC78" s="11">
        <f>$M$35</f>
        <v>1</v>
      </c>
      <c r="AD78" s="16"/>
    </row>
    <row r="79" spans="1:30" x14ac:dyDescent="0.25">
      <c r="A79" s="17">
        <f>$M$42</f>
        <v>655</v>
      </c>
      <c r="B79" s="7"/>
      <c r="C79" s="11">
        <f>$M$39</f>
        <v>300</v>
      </c>
      <c r="D79" s="6"/>
      <c r="E79" s="11">
        <f>$M$36</f>
        <v>1500</v>
      </c>
      <c r="F79" s="16"/>
      <c r="G79" s="17">
        <f>$M$42</f>
        <v>655</v>
      </c>
      <c r="H79" s="7"/>
      <c r="I79" s="11">
        <f>$M$39</f>
        <v>300</v>
      </c>
      <c r="J79" s="7"/>
      <c r="K79" s="11">
        <f>$M$36</f>
        <v>1500</v>
      </c>
      <c r="L79" s="7"/>
      <c r="M79" s="17">
        <f>$M$42</f>
        <v>655</v>
      </c>
      <c r="N79" s="7"/>
      <c r="O79" s="11">
        <f>$M$39</f>
        <v>300</v>
      </c>
      <c r="P79" s="7"/>
      <c r="Q79" s="11">
        <f>$M$36</f>
        <v>1500</v>
      </c>
      <c r="R79" s="52"/>
      <c r="S79" s="17">
        <f>$M$42</f>
        <v>655</v>
      </c>
      <c r="T79" s="7"/>
      <c r="U79" s="11">
        <f>$M$39</f>
        <v>300</v>
      </c>
      <c r="V79" s="7"/>
      <c r="W79" s="11">
        <f>$M$36</f>
        <v>1500</v>
      </c>
      <c r="X79" s="7"/>
      <c r="Y79" s="17">
        <f>$M$42</f>
        <v>655</v>
      </c>
      <c r="Z79" s="7"/>
      <c r="AA79" s="11">
        <f>$M$39</f>
        <v>300</v>
      </c>
      <c r="AB79" s="7"/>
      <c r="AC79" s="11">
        <f>$M$36</f>
        <v>1500</v>
      </c>
      <c r="AD79" s="16"/>
    </row>
    <row r="80" spans="1:30" x14ac:dyDescent="0.25">
      <c r="A80" s="17">
        <f>$M$43</f>
        <v>0</v>
      </c>
      <c r="B80" s="7"/>
      <c r="C80" s="11">
        <f>$M$40</f>
        <v>90</v>
      </c>
      <c r="D80" s="6"/>
      <c r="E80" s="11">
        <f>$M$37</f>
        <v>4000</v>
      </c>
      <c r="F80" s="16"/>
      <c r="G80" s="17">
        <f>$M$43</f>
        <v>0</v>
      </c>
      <c r="H80" s="7"/>
      <c r="I80" s="11">
        <f>$M$40</f>
        <v>90</v>
      </c>
      <c r="J80" s="7"/>
      <c r="K80" s="11">
        <f>$M$37</f>
        <v>4000</v>
      </c>
      <c r="L80" s="7"/>
      <c r="M80" s="17">
        <f>$M$43</f>
        <v>0</v>
      </c>
      <c r="N80" s="7"/>
      <c r="O80" s="11">
        <f>$M$40</f>
        <v>90</v>
      </c>
      <c r="P80" s="7"/>
      <c r="Q80" s="11">
        <f>$M$37</f>
        <v>4000</v>
      </c>
      <c r="R80" s="52"/>
      <c r="S80" s="17">
        <f>$M$43</f>
        <v>0</v>
      </c>
      <c r="T80" s="7"/>
      <c r="U80" s="11">
        <f>$M$40</f>
        <v>90</v>
      </c>
      <c r="V80" s="7"/>
      <c r="W80" s="11">
        <f>$M$37</f>
        <v>4000</v>
      </c>
      <c r="X80" s="7"/>
      <c r="Y80" s="17">
        <f>$M$43</f>
        <v>0</v>
      </c>
      <c r="Z80" s="7"/>
      <c r="AA80" s="11">
        <f>$M$40</f>
        <v>90</v>
      </c>
      <c r="AB80" s="7"/>
      <c r="AC80" s="11">
        <f>$M$37</f>
        <v>4000</v>
      </c>
      <c r="AD80" s="16"/>
    </row>
    <row r="81" spans="1:30" x14ac:dyDescent="0.25">
      <c r="A81" s="17">
        <f>$M$43</f>
        <v>0</v>
      </c>
      <c r="B81" s="7"/>
      <c r="C81" s="11" t="str">
        <f>$M$41</f>
        <v>A</v>
      </c>
      <c r="D81" s="6"/>
      <c r="E81" s="11">
        <f>$M$38</f>
        <v>300</v>
      </c>
      <c r="F81" s="16"/>
      <c r="G81" s="17">
        <f>$M$43</f>
        <v>0</v>
      </c>
      <c r="H81" s="7"/>
      <c r="I81" s="11" t="str">
        <f>$M$41</f>
        <v>A</v>
      </c>
      <c r="J81" s="7"/>
      <c r="K81" s="11">
        <f>$M$38</f>
        <v>300</v>
      </c>
      <c r="L81" s="7"/>
      <c r="M81" s="17">
        <f>$M$43</f>
        <v>0</v>
      </c>
      <c r="N81" s="7"/>
      <c r="O81" s="11" t="str">
        <f>$M$41</f>
        <v>A</v>
      </c>
      <c r="P81" s="7"/>
      <c r="Q81" s="11">
        <f>$M$38</f>
        <v>300</v>
      </c>
      <c r="R81" s="52"/>
      <c r="S81" s="17">
        <f>$M$43</f>
        <v>0</v>
      </c>
      <c r="T81" s="7"/>
      <c r="U81" s="11" t="str">
        <f>$M$41</f>
        <v>A</v>
      </c>
      <c r="V81" s="7"/>
      <c r="W81" s="11">
        <f>$M$38</f>
        <v>300</v>
      </c>
      <c r="X81" s="7"/>
      <c r="Y81" s="17">
        <f>$M$43</f>
        <v>0</v>
      </c>
      <c r="Z81" s="7"/>
      <c r="AA81" s="11" t="str">
        <f>$M$41</f>
        <v>A</v>
      </c>
      <c r="AB81" s="7"/>
      <c r="AC81" s="11">
        <f>$M$38</f>
        <v>300</v>
      </c>
      <c r="AD81" s="16"/>
    </row>
    <row r="82" spans="1:30" x14ac:dyDescent="0.25">
      <c r="A82" s="17">
        <f>$M$44</f>
        <v>0</v>
      </c>
      <c r="B82" s="7"/>
      <c r="C82" s="11">
        <f>$M$42</f>
        <v>655</v>
      </c>
      <c r="D82" s="6"/>
      <c r="E82" s="11">
        <f>$M$39</f>
        <v>300</v>
      </c>
      <c r="F82" s="16"/>
      <c r="G82" s="17">
        <f>$M$44</f>
        <v>0</v>
      </c>
      <c r="H82" s="7"/>
      <c r="I82" s="11">
        <f>$M$42</f>
        <v>655</v>
      </c>
      <c r="J82" s="7"/>
      <c r="K82" s="11">
        <f>$M$39</f>
        <v>300</v>
      </c>
      <c r="L82" s="7"/>
      <c r="M82" s="17">
        <f>$M$44</f>
        <v>0</v>
      </c>
      <c r="N82" s="7"/>
      <c r="O82" s="11">
        <f>$M$42</f>
        <v>655</v>
      </c>
      <c r="P82" s="7"/>
      <c r="Q82" s="11">
        <f>$M$39</f>
        <v>300</v>
      </c>
      <c r="R82" s="52"/>
      <c r="S82" s="17">
        <f>$M$44</f>
        <v>0</v>
      </c>
      <c r="T82" s="7"/>
      <c r="U82" s="11">
        <f>$M$42</f>
        <v>655</v>
      </c>
      <c r="V82" s="7"/>
      <c r="W82" s="11">
        <f>$M$39</f>
        <v>300</v>
      </c>
      <c r="X82" s="7"/>
      <c r="Y82" s="17">
        <f>$M$44</f>
        <v>0</v>
      </c>
      <c r="Z82" s="7"/>
      <c r="AA82" s="11">
        <f>$M$42</f>
        <v>655</v>
      </c>
      <c r="AB82" s="7"/>
      <c r="AC82" s="11">
        <f>$M$39</f>
        <v>300</v>
      </c>
      <c r="AD82" s="16"/>
    </row>
    <row r="83" spans="1:30" x14ac:dyDescent="0.25">
      <c r="A83" s="18">
        <f>$F$11</f>
        <v>1</v>
      </c>
      <c r="B83" s="7"/>
      <c r="C83" s="11">
        <f>$M$43</f>
        <v>0</v>
      </c>
      <c r="D83" s="6"/>
      <c r="E83" s="11">
        <f>$M$40</f>
        <v>90</v>
      </c>
      <c r="F83" s="16"/>
      <c r="G83" s="18">
        <f>$F$11</f>
        <v>1</v>
      </c>
      <c r="H83" s="7"/>
      <c r="I83" s="11">
        <f>$M$43</f>
        <v>0</v>
      </c>
      <c r="J83" s="7"/>
      <c r="K83" s="11">
        <f>$M$40</f>
        <v>90</v>
      </c>
      <c r="L83" s="7"/>
      <c r="M83" s="18">
        <f>$F$11</f>
        <v>1</v>
      </c>
      <c r="N83" s="7"/>
      <c r="O83" s="11">
        <f>$M$43</f>
        <v>0</v>
      </c>
      <c r="P83" s="7"/>
      <c r="Q83" s="11">
        <f>$M$40</f>
        <v>90</v>
      </c>
      <c r="R83" s="52"/>
      <c r="S83" s="18">
        <f>$F$11</f>
        <v>1</v>
      </c>
      <c r="T83" s="7"/>
      <c r="U83" s="11">
        <f>$M$43</f>
        <v>0</v>
      </c>
      <c r="V83" s="7"/>
      <c r="W83" s="11">
        <f>$M$40</f>
        <v>90</v>
      </c>
      <c r="X83" s="7"/>
      <c r="Y83" s="18">
        <f>$F$11</f>
        <v>1</v>
      </c>
      <c r="Z83" s="7"/>
      <c r="AA83" s="11">
        <f>$M$43</f>
        <v>0</v>
      </c>
      <c r="AB83" s="7"/>
      <c r="AC83" s="11">
        <f>$M$40</f>
        <v>90</v>
      </c>
      <c r="AD83" s="16"/>
    </row>
    <row r="84" spans="1:30" x14ac:dyDescent="0.25">
      <c r="A84" s="18">
        <f>$F$12</f>
        <v>2200</v>
      </c>
      <c r="B84" s="7"/>
      <c r="C84" s="11">
        <f>$M$43</f>
        <v>0</v>
      </c>
      <c r="D84" s="6"/>
      <c r="E84" s="11" t="str">
        <f>$M$41</f>
        <v>A</v>
      </c>
      <c r="F84" s="16"/>
      <c r="G84" s="18">
        <f>$F$12</f>
        <v>2200</v>
      </c>
      <c r="H84" s="7"/>
      <c r="I84" s="11">
        <f>$M$43</f>
        <v>0</v>
      </c>
      <c r="J84" s="7"/>
      <c r="K84" s="11" t="str">
        <f>$M$41</f>
        <v>A</v>
      </c>
      <c r="L84" s="7"/>
      <c r="M84" s="18">
        <f>$F$12</f>
        <v>2200</v>
      </c>
      <c r="N84" s="7"/>
      <c r="O84" s="11">
        <f>$M$43</f>
        <v>0</v>
      </c>
      <c r="P84" s="7"/>
      <c r="Q84" s="11" t="str">
        <f>$M$41</f>
        <v>A</v>
      </c>
      <c r="R84" s="52"/>
      <c r="S84" s="18">
        <f>$F$12</f>
        <v>2200</v>
      </c>
      <c r="T84" s="7"/>
      <c r="U84" s="11">
        <f>$M$43</f>
        <v>0</v>
      </c>
      <c r="V84" s="7"/>
      <c r="W84" s="11" t="str">
        <f>$M$41</f>
        <v>A</v>
      </c>
      <c r="X84" s="7"/>
      <c r="Y84" s="18">
        <f>$F$12</f>
        <v>2200</v>
      </c>
      <c r="Z84" s="7"/>
      <c r="AA84" s="11">
        <f>$M$43</f>
        <v>0</v>
      </c>
      <c r="AB84" s="7"/>
      <c r="AC84" s="11" t="str">
        <f>$M$41</f>
        <v>A</v>
      </c>
      <c r="AD84" s="16"/>
    </row>
    <row r="85" spans="1:30" x14ac:dyDescent="0.25">
      <c r="A85" s="18">
        <f>$F$13</f>
        <v>3800</v>
      </c>
      <c r="B85" s="7"/>
      <c r="C85" s="11">
        <f>$M$44</f>
        <v>0</v>
      </c>
      <c r="D85" s="6"/>
      <c r="E85" s="11">
        <f>$M$42</f>
        <v>655</v>
      </c>
      <c r="F85" s="16"/>
      <c r="G85" s="18">
        <f>$F$13</f>
        <v>3800</v>
      </c>
      <c r="H85" s="7"/>
      <c r="I85" s="11">
        <f>$M$44</f>
        <v>0</v>
      </c>
      <c r="J85" s="7"/>
      <c r="K85" s="11">
        <f>$M$42</f>
        <v>655</v>
      </c>
      <c r="L85" s="7"/>
      <c r="M85" s="18">
        <f>$F$13</f>
        <v>3800</v>
      </c>
      <c r="N85" s="7"/>
      <c r="O85" s="11">
        <f>$M$44</f>
        <v>0</v>
      </c>
      <c r="P85" s="7"/>
      <c r="Q85" s="11">
        <f>$M$42</f>
        <v>655</v>
      </c>
      <c r="R85" s="52"/>
      <c r="S85" s="18">
        <f>$F$13</f>
        <v>3800</v>
      </c>
      <c r="T85" s="7"/>
      <c r="U85" s="11">
        <f>$M$44</f>
        <v>0</v>
      </c>
      <c r="V85" s="7"/>
      <c r="W85" s="11">
        <f>$M$42</f>
        <v>655</v>
      </c>
      <c r="X85" s="7"/>
      <c r="Y85" s="18">
        <f>$F$13</f>
        <v>3800</v>
      </c>
      <c r="Z85" s="7"/>
      <c r="AA85" s="11">
        <f>$M$44</f>
        <v>0</v>
      </c>
      <c r="AB85" s="7"/>
      <c r="AC85" s="11">
        <f>$M$42</f>
        <v>655</v>
      </c>
      <c r="AD85" s="16"/>
    </row>
    <row r="86" spans="1:30" x14ac:dyDescent="0.25">
      <c r="A86" s="18">
        <f>$F$14</f>
        <v>300</v>
      </c>
      <c r="B86" s="7"/>
      <c r="C86" s="12">
        <f>$F$11</f>
        <v>1</v>
      </c>
      <c r="D86" s="6"/>
      <c r="E86" s="11">
        <f>$M$43</f>
        <v>0</v>
      </c>
      <c r="F86" s="16"/>
      <c r="G86" s="18">
        <f>$F$14</f>
        <v>300</v>
      </c>
      <c r="H86" s="7"/>
      <c r="I86" s="12">
        <f>$F$11</f>
        <v>1</v>
      </c>
      <c r="J86" s="7"/>
      <c r="K86" s="11">
        <f>$M$43</f>
        <v>0</v>
      </c>
      <c r="L86" s="7"/>
      <c r="M86" s="18">
        <f>$F$14</f>
        <v>300</v>
      </c>
      <c r="N86" s="7"/>
      <c r="O86" s="12">
        <f>$F$11</f>
        <v>1</v>
      </c>
      <c r="P86" s="7"/>
      <c r="Q86" s="11">
        <f>$M$43</f>
        <v>0</v>
      </c>
      <c r="R86" s="52"/>
      <c r="S86" s="18">
        <f>$F$14</f>
        <v>300</v>
      </c>
      <c r="T86" s="7"/>
      <c r="U86" s="12">
        <f>$F$11</f>
        <v>1</v>
      </c>
      <c r="V86" s="7"/>
      <c r="W86" s="11">
        <f>$M$43</f>
        <v>0</v>
      </c>
      <c r="X86" s="7"/>
      <c r="Y86" s="18">
        <f>$F$14</f>
        <v>300</v>
      </c>
      <c r="Z86" s="7"/>
      <c r="AA86" s="12">
        <f>$F$11</f>
        <v>1</v>
      </c>
      <c r="AB86" s="7"/>
      <c r="AC86" s="11">
        <f>$M$43</f>
        <v>0</v>
      </c>
      <c r="AD86" s="16"/>
    </row>
    <row r="87" spans="1:30" x14ac:dyDescent="0.25">
      <c r="A87" s="18">
        <f>$F$15</f>
        <v>300</v>
      </c>
      <c r="B87" s="7"/>
      <c r="C87" s="12">
        <f>$F$12</f>
        <v>2200</v>
      </c>
      <c r="D87" s="6"/>
      <c r="E87" s="11">
        <f>$M$43</f>
        <v>0</v>
      </c>
      <c r="F87" s="16"/>
      <c r="G87" s="18">
        <f>$F$15</f>
        <v>300</v>
      </c>
      <c r="H87" s="7"/>
      <c r="I87" s="12">
        <f>$F$12</f>
        <v>2200</v>
      </c>
      <c r="J87" s="7"/>
      <c r="K87" s="11">
        <f>$M$43</f>
        <v>0</v>
      </c>
      <c r="L87" s="7"/>
      <c r="M87" s="18">
        <f>$F$15</f>
        <v>300</v>
      </c>
      <c r="N87" s="7"/>
      <c r="O87" s="12">
        <f>$F$12</f>
        <v>2200</v>
      </c>
      <c r="P87" s="7"/>
      <c r="Q87" s="11">
        <f>$M$43</f>
        <v>0</v>
      </c>
      <c r="R87" s="52"/>
      <c r="S87" s="18">
        <f>$F$15</f>
        <v>300</v>
      </c>
      <c r="T87" s="7"/>
      <c r="U87" s="12">
        <f>$F$12</f>
        <v>2200</v>
      </c>
      <c r="V87" s="7"/>
      <c r="W87" s="11">
        <f>$M$43</f>
        <v>0</v>
      </c>
      <c r="X87" s="7"/>
      <c r="Y87" s="18">
        <f>$F$15</f>
        <v>300</v>
      </c>
      <c r="Z87" s="7"/>
      <c r="AA87" s="12">
        <f>$F$12</f>
        <v>2200</v>
      </c>
      <c r="AB87" s="7"/>
      <c r="AC87" s="11">
        <f>$M$43</f>
        <v>0</v>
      </c>
      <c r="AD87" s="16"/>
    </row>
    <row r="88" spans="1:30" x14ac:dyDescent="0.25">
      <c r="A88" s="18">
        <f>$F$16</f>
        <v>90</v>
      </c>
      <c r="B88" s="7"/>
      <c r="C88" s="12">
        <f>$F$13</f>
        <v>3800</v>
      </c>
      <c r="D88" s="6"/>
      <c r="E88" s="11">
        <f>$M$44</f>
        <v>0</v>
      </c>
      <c r="F88" s="16"/>
      <c r="G88" s="18">
        <f>$F$16</f>
        <v>90</v>
      </c>
      <c r="H88" s="7"/>
      <c r="I88" s="12">
        <f>$F$13</f>
        <v>3800</v>
      </c>
      <c r="J88" s="7"/>
      <c r="K88" s="11">
        <f>$M$44</f>
        <v>0</v>
      </c>
      <c r="L88" s="7"/>
      <c r="M88" s="18">
        <f>$F$16</f>
        <v>90</v>
      </c>
      <c r="N88" s="7"/>
      <c r="O88" s="12">
        <f>$F$13</f>
        <v>3800</v>
      </c>
      <c r="P88" s="7"/>
      <c r="Q88" s="11">
        <f>$M$44</f>
        <v>0</v>
      </c>
      <c r="R88" s="52"/>
      <c r="S88" s="18">
        <f>$F$16</f>
        <v>90</v>
      </c>
      <c r="T88" s="7"/>
      <c r="U88" s="12">
        <f>$F$13</f>
        <v>3800</v>
      </c>
      <c r="V88" s="7"/>
      <c r="W88" s="11">
        <f>$M$44</f>
        <v>0</v>
      </c>
      <c r="X88" s="7"/>
      <c r="Y88" s="18">
        <f>$F$16</f>
        <v>90</v>
      </c>
      <c r="Z88" s="7"/>
      <c r="AA88" s="12">
        <f>$F$13</f>
        <v>3800</v>
      </c>
      <c r="AB88" s="7"/>
      <c r="AC88" s="11">
        <f>$M$44</f>
        <v>0</v>
      </c>
      <c r="AD88" s="16"/>
    </row>
    <row r="89" spans="1:30" x14ac:dyDescent="0.25">
      <c r="A89" s="18">
        <f>$F$17</f>
        <v>20</v>
      </c>
      <c r="B89" s="7"/>
      <c r="C89" s="12">
        <f>$F$14</f>
        <v>300</v>
      </c>
      <c r="D89" s="6"/>
      <c r="E89" s="12">
        <f>$F$11</f>
        <v>1</v>
      </c>
      <c r="F89" s="16"/>
      <c r="G89" s="18">
        <f>$F$17</f>
        <v>20</v>
      </c>
      <c r="H89" s="7"/>
      <c r="I89" s="12">
        <f>$F$14</f>
        <v>300</v>
      </c>
      <c r="J89" s="7"/>
      <c r="K89" s="12">
        <f>$F$11</f>
        <v>1</v>
      </c>
      <c r="L89" s="7"/>
      <c r="M89" s="18">
        <f>$F$17</f>
        <v>20</v>
      </c>
      <c r="N89" s="7"/>
      <c r="O89" s="12">
        <f>$F$14</f>
        <v>300</v>
      </c>
      <c r="P89" s="7"/>
      <c r="Q89" s="12">
        <f>$F$11</f>
        <v>1</v>
      </c>
      <c r="R89" s="52"/>
      <c r="S89" s="18">
        <f>$F$17</f>
        <v>20</v>
      </c>
      <c r="T89" s="7"/>
      <c r="U89" s="12">
        <f>$F$14</f>
        <v>300</v>
      </c>
      <c r="V89" s="7"/>
      <c r="W89" s="12">
        <f>$F$11</f>
        <v>1</v>
      </c>
      <c r="X89" s="7"/>
      <c r="Y89" s="18">
        <f>$F$17</f>
        <v>20</v>
      </c>
      <c r="Z89" s="7"/>
      <c r="AA89" s="12">
        <f>$F$14</f>
        <v>300</v>
      </c>
      <c r="AB89" s="7"/>
      <c r="AC89" s="12">
        <f>$F$11</f>
        <v>1</v>
      </c>
      <c r="AD89" s="16"/>
    </row>
    <row r="90" spans="1:30" x14ac:dyDescent="0.25">
      <c r="A90" s="18" t="str">
        <f>$F$18</f>
        <v>P</v>
      </c>
      <c r="B90" s="7"/>
      <c r="C90" s="12">
        <f>$F$15</f>
        <v>300</v>
      </c>
      <c r="D90" s="6"/>
      <c r="E90" s="12">
        <f>$F$12</f>
        <v>2200</v>
      </c>
      <c r="F90" s="16"/>
      <c r="G90" s="18" t="str">
        <f>$F$18</f>
        <v>P</v>
      </c>
      <c r="H90" s="7"/>
      <c r="I90" s="12">
        <f>$F$15</f>
        <v>300</v>
      </c>
      <c r="J90" s="7"/>
      <c r="K90" s="12">
        <f>$F$12</f>
        <v>2200</v>
      </c>
      <c r="L90" s="7"/>
      <c r="M90" s="18" t="str">
        <f>$F$18</f>
        <v>P</v>
      </c>
      <c r="N90" s="7"/>
      <c r="O90" s="12">
        <f>$F$15</f>
        <v>300</v>
      </c>
      <c r="P90" s="7"/>
      <c r="Q90" s="12">
        <f>$F$12</f>
        <v>2200</v>
      </c>
      <c r="R90" s="52"/>
      <c r="S90" s="18" t="str">
        <f>$F$18</f>
        <v>P</v>
      </c>
      <c r="T90" s="7"/>
      <c r="U90" s="12">
        <f>$F$15</f>
        <v>300</v>
      </c>
      <c r="V90" s="7"/>
      <c r="W90" s="12">
        <f>$F$12</f>
        <v>2200</v>
      </c>
      <c r="X90" s="7"/>
      <c r="Y90" s="18" t="str">
        <f>$F$18</f>
        <v>P</v>
      </c>
      <c r="Z90" s="7"/>
      <c r="AA90" s="12">
        <f>$F$15</f>
        <v>300</v>
      </c>
      <c r="AB90" s="7"/>
      <c r="AC90" s="12">
        <f>$F$12</f>
        <v>2200</v>
      </c>
      <c r="AD90" s="16"/>
    </row>
    <row r="91" spans="1:30" x14ac:dyDescent="0.25">
      <c r="A91" s="18" t="str">
        <f>$F$19</f>
        <v>60.3x2.9</v>
      </c>
      <c r="B91" s="7"/>
      <c r="C91" s="12">
        <f>$F$16</f>
        <v>90</v>
      </c>
      <c r="D91" s="6"/>
      <c r="E91" s="12">
        <f>$F$13</f>
        <v>3800</v>
      </c>
      <c r="F91" s="16"/>
      <c r="G91" s="18" t="str">
        <f>$F$19</f>
        <v>60.3x2.9</v>
      </c>
      <c r="H91" s="7"/>
      <c r="I91" s="12">
        <f>$F$16</f>
        <v>90</v>
      </c>
      <c r="J91" s="7"/>
      <c r="K91" s="12">
        <f>$F$13</f>
        <v>3800</v>
      </c>
      <c r="L91" s="7"/>
      <c r="M91" s="18" t="str">
        <f>$F$19</f>
        <v>60.3x2.9</v>
      </c>
      <c r="N91" s="7"/>
      <c r="O91" s="12">
        <f>$F$16</f>
        <v>90</v>
      </c>
      <c r="P91" s="7"/>
      <c r="Q91" s="12">
        <f>$F$13</f>
        <v>3800</v>
      </c>
      <c r="R91" s="52"/>
      <c r="S91" s="18" t="str">
        <f>$F$19</f>
        <v>60.3x2.9</v>
      </c>
      <c r="T91" s="7"/>
      <c r="U91" s="12">
        <f>$F$16</f>
        <v>90</v>
      </c>
      <c r="V91" s="7"/>
      <c r="W91" s="12">
        <f>$F$13</f>
        <v>3800</v>
      </c>
      <c r="X91" s="7"/>
      <c r="Y91" s="18" t="str">
        <f>$F$19</f>
        <v>60.3x2.9</v>
      </c>
      <c r="Z91" s="7"/>
      <c r="AA91" s="12">
        <f>$F$16</f>
        <v>90</v>
      </c>
      <c r="AB91" s="7"/>
      <c r="AC91" s="12">
        <f>$F$13</f>
        <v>3800</v>
      </c>
      <c r="AD91" s="16"/>
    </row>
    <row r="92" spans="1:30" x14ac:dyDescent="0.25">
      <c r="A92" s="18">
        <f>$R$7</f>
        <v>0</v>
      </c>
      <c r="B92" s="7"/>
      <c r="C92" s="12">
        <f>$F$17</f>
        <v>20</v>
      </c>
      <c r="D92" s="6"/>
      <c r="E92" s="12">
        <f>$F$14</f>
        <v>300</v>
      </c>
      <c r="F92" s="16"/>
      <c r="G92" s="18">
        <f>$R$7</f>
        <v>0</v>
      </c>
      <c r="H92" s="7"/>
      <c r="I92" s="12">
        <f>$F$17</f>
        <v>20</v>
      </c>
      <c r="J92" s="7"/>
      <c r="K92" s="12">
        <f>$F$14</f>
        <v>300</v>
      </c>
      <c r="L92" s="7"/>
      <c r="M92" s="18">
        <f>$R$7</f>
        <v>0</v>
      </c>
      <c r="N92" s="7"/>
      <c r="O92" s="12">
        <f>$F$17</f>
        <v>20</v>
      </c>
      <c r="P92" s="7"/>
      <c r="Q92" s="12">
        <f>$F$14</f>
        <v>300</v>
      </c>
      <c r="R92" s="52"/>
      <c r="S92" s="18">
        <f>$R$7</f>
        <v>0</v>
      </c>
      <c r="T92" s="7"/>
      <c r="U92" s="12">
        <f>$F$17</f>
        <v>20</v>
      </c>
      <c r="V92" s="7"/>
      <c r="W92" s="12">
        <f>$F$14</f>
        <v>300</v>
      </c>
      <c r="X92" s="7"/>
      <c r="Y92" s="18">
        <f>$R$7</f>
        <v>0</v>
      </c>
      <c r="Z92" s="7"/>
      <c r="AA92" s="12">
        <f>$F$17</f>
        <v>20</v>
      </c>
      <c r="AB92" s="7"/>
      <c r="AC92" s="12">
        <f>$F$14</f>
        <v>300</v>
      </c>
      <c r="AD92" s="16"/>
    </row>
    <row r="93" spans="1:30" x14ac:dyDescent="0.25">
      <c r="A93" s="18">
        <f>$L$7</f>
        <v>1</v>
      </c>
      <c r="B93" s="7"/>
      <c r="C93" s="12" t="str">
        <f>$F$18</f>
        <v>P</v>
      </c>
      <c r="D93" s="6"/>
      <c r="E93" s="12">
        <f>$F$15</f>
        <v>300</v>
      </c>
      <c r="F93" s="16"/>
      <c r="G93" s="18">
        <f>$L$7</f>
        <v>1</v>
      </c>
      <c r="H93" s="7"/>
      <c r="I93" s="12" t="str">
        <f>$F$18</f>
        <v>P</v>
      </c>
      <c r="J93" s="7"/>
      <c r="K93" s="12">
        <f>$F$15</f>
        <v>300</v>
      </c>
      <c r="L93" s="7"/>
      <c r="M93" s="18">
        <f>$R$8</f>
        <v>1500</v>
      </c>
      <c r="N93" s="7"/>
      <c r="O93" s="12" t="str">
        <f>$F$18</f>
        <v>P</v>
      </c>
      <c r="P93" s="7"/>
      <c r="Q93" s="12">
        <f>$F$15</f>
        <v>300</v>
      </c>
      <c r="R93" s="52"/>
      <c r="S93" s="18">
        <f>$L$7</f>
        <v>1</v>
      </c>
      <c r="T93" s="7"/>
      <c r="U93" s="12" t="str">
        <f>$F$18</f>
        <v>P</v>
      </c>
      <c r="V93" s="7"/>
      <c r="W93" s="12">
        <f>$F$15</f>
        <v>300</v>
      </c>
      <c r="X93" s="7"/>
      <c r="Y93" s="18">
        <f>$R$8</f>
        <v>1500</v>
      </c>
      <c r="Z93" s="7"/>
      <c r="AA93" s="12" t="str">
        <f>$F$18</f>
        <v>P</v>
      </c>
      <c r="AB93" s="7"/>
      <c r="AC93" s="12">
        <f>$F$15</f>
        <v>300</v>
      </c>
      <c r="AD93" s="16"/>
    </row>
    <row r="94" spans="1:30" x14ac:dyDescent="0.25">
      <c r="A94" s="18">
        <f>$L$7</f>
        <v>1</v>
      </c>
      <c r="B94" s="7"/>
      <c r="C94" s="12" t="str">
        <f>$F$19</f>
        <v>60.3x2.9</v>
      </c>
      <c r="D94" s="6"/>
      <c r="E94" s="12">
        <f>$F$16</f>
        <v>90</v>
      </c>
      <c r="F94" s="16"/>
      <c r="G94" s="18">
        <f>$L$7</f>
        <v>1</v>
      </c>
      <c r="H94" s="7"/>
      <c r="I94" s="12" t="str">
        <f>$F$19</f>
        <v>60.3x2.9</v>
      </c>
      <c r="J94" s="7"/>
      <c r="K94" s="12">
        <f>$F$16</f>
        <v>90</v>
      </c>
      <c r="L94" s="7"/>
      <c r="M94" s="18" t="str">
        <f>$R$10</f>
        <v>P</v>
      </c>
      <c r="N94" s="7"/>
      <c r="O94" s="12" t="str">
        <f>$F$19</f>
        <v>60.3x2.9</v>
      </c>
      <c r="P94" s="7"/>
      <c r="Q94" s="12">
        <f>$F$16</f>
        <v>90</v>
      </c>
      <c r="R94" s="52"/>
      <c r="S94" s="18">
        <f>$L$7</f>
        <v>1</v>
      </c>
      <c r="T94" s="7"/>
      <c r="U94" s="12" t="str">
        <f>$F$19</f>
        <v>60.3x2.9</v>
      </c>
      <c r="V94" s="7"/>
      <c r="W94" s="12">
        <f>$F$16</f>
        <v>90</v>
      </c>
      <c r="X94" s="7"/>
      <c r="Y94" s="18" t="str">
        <f>$R$10</f>
        <v>P</v>
      </c>
      <c r="Z94" s="7"/>
      <c r="AA94" s="12" t="str">
        <f>$F$19</f>
        <v>60.3x2.9</v>
      </c>
      <c r="AB94" s="7"/>
      <c r="AC94" s="12">
        <f>$F$16</f>
        <v>90</v>
      </c>
      <c r="AD94" s="16"/>
    </row>
    <row r="95" spans="1:30" x14ac:dyDescent="0.25">
      <c r="A95" s="19"/>
      <c r="B95" s="7"/>
      <c r="C95" s="12">
        <f>$R$7</f>
        <v>0</v>
      </c>
      <c r="D95" s="6"/>
      <c r="E95" s="12">
        <f>$F$17</f>
        <v>20</v>
      </c>
      <c r="F95" s="16"/>
      <c r="G95" s="18">
        <f>$L$8</f>
        <v>1500</v>
      </c>
      <c r="H95" s="7"/>
      <c r="I95" s="12">
        <f>$R$7</f>
        <v>0</v>
      </c>
      <c r="J95" s="7"/>
      <c r="K95" s="12">
        <f>$F$17</f>
        <v>20</v>
      </c>
      <c r="L95" s="7"/>
      <c r="M95" s="18" t="str">
        <f>$R$11</f>
        <v>48.3x2.9</v>
      </c>
      <c r="N95" s="7"/>
      <c r="O95" s="12">
        <f>$R$7</f>
        <v>0</v>
      </c>
      <c r="P95" s="7"/>
      <c r="Q95" s="12">
        <f>$F$17</f>
        <v>20</v>
      </c>
      <c r="R95" s="52"/>
      <c r="S95" s="18">
        <f>$L$8</f>
        <v>1500</v>
      </c>
      <c r="T95" s="7"/>
      <c r="U95" s="12">
        <f>$R$7</f>
        <v>0</v>
      </c>
      <c r="V95" s="7"/>
      <c r="W95" s="12">
        <f>$F$17</f>
        <v>20</v>
      </c>
      <c r="X95" s="7"/>
      <c r="Y95" s="18" t="str">
        <f>$R$11</f>
        <v>48.3x2.9</v>
      </c>
      <c r="Z95" s="7"/>
      <c r="AA95" s="12">
        <f>$R$7</f>
        <v>0</v>
      </c>
      <c r="AB95" s="7"/>
      <c r="AC95" s="12">
        <f>$F$17</f>
        <v>20</v>
      </c>
      <c r="AD95" s="16"/>
    </row>
    <row r="96" spans="1:30" x14ac:dyDescent="0.25">
      <c r="A96" s="19"/>
      <c r="B96" s="7"/>
      <c r="C96" s="12">
        <f>$L$7</f>
        <v>1</v>
      </c>
      <c r="D96" s="6"/>
      <c r="E96" s="12" t="str">
        <f>$F$18</f>
        <v>P</v>
      </c>
      <c r="F96" s="16"/>
      <c r="G96" s="18">
        <f>$L$8</f>
        <v>1500</v>
      </c>
      <c r="H96" s="7"/>
      <c r="I96" s="12">
        <f>$L$7</f>
        <v>1</v>
      </c>
      <c r="J96" s="7"/>
      <c r="K96" s="12" t="str">
        <f>$F$18</f>
        <v>P</v>
      </c>
      <c r="L96" s="7"/>
      <c r="M96" s="18">
        <f>$L$7</f>
        <v>1</v>
      </c>
      <c r="N96" s="7"/>
      <c r="O96" s="12">
        <f>$R$8</f>
        <v>1500</v>
      </c>
      <c r="P96" s="7"/>
      <c r="Q96" s="12" t="str">
        <f>$F$18</f>
        <v>P</v>
      </c>
      <c r="R96" s="52"/>
      <c r="S96" s="18">
        <f>$L$8</f>
        <v>1500</v>
      </c>
      <c r="T96" s="7"/>
      <c r="U96" s="12">
        <f>$L$7</f>
        <v>1</v>
      </c>
      <c r="V96" s="7"/>
      <c r="W96" s="12" t="str">
        <f>$F$18</f>
        <v>P</v>
      </c>
      <c r="X96" s="7"/>
      <c r="Y96" s="18">
        <f>$R$13</f>
        <v>2500</v>
      </c>
      <c r="Z96" s="7"/>
      <c r="AA96" s="12">
        <f>$R$8</f>
        <v>1500</v>
      </c>
      <c r="AB96" s="7"/>
      <c r="AC96" s="12" t="str">
        <f>$F$18</f>
        <v>P</v>
      </c>
      <c r="AD96" s="16"/>
    </row>
    <row r="97" spans="1:30" x14ac:dyDescent="0.25">
      <c r="A97" s="19"/>
      <c r="B97" s="7"/>
      <c r="C97" s="12">
        <f>$L$7</f>
        <v>1</v>
      </c>
      <c r="D97" s="6"/>
      <c r="E97" s="12" t="str">
        <f>$F$19</f>
        <v>60.3x2.9</v>
      </c>
      <c r="F97" s="16"/>
      <c r="G97" s="18" t="str">
        <f>$L$10</f>
        <v>P</v>
      </c>
      <c r="H97" s="7"/>
      <c r="I97" s="12">
        <f>$L$7</f>
        <v>1</v>
      </c>
      <c r="J97" s="7"/>
      <c r="K97" s="12" t="str">
        <f>$F$19</f>
        <v>60.3x2.9</v>
      </c>
      <c r="L97" s="7"/>
      <c r="M97" s="18">
        <f>$L$7</f>
        <v>1</v>
      </c>
      <c r="N97" s="7"/>
      <c r="O97" s="12" t="str">
        <f>$R$10</f>
        <v>P</v>
      </c>
      <c r="P97" s="7"/>
      <c r="Q97" s="12" t="str">
        <f>$F$19</f>
        <v>60.3x2.9</v>
      </c>
      <c r="R97" s="52"/>
      <c r="S97" s="18" t="str">
        <f>$L$10</f>
        <v>P</v>
      </c>
      <c r="T97" s="7"/>
      <c r="U97" s="12">
        <f>$L$7</f>
        <v>1</v>
      </c>
      <c r="V97" s="7"/>
      <c r="W97" s="12" t="str">
        <f>$F$19</f>
        <v>60.3x2.9</v>
      </c>
      <c r="X97" s="7"/>
      <c r="Y97" s="18" t="str">
        <f>$R$15</f>
        <v>P</v>
      </c>
      <c r="Z97" s="7"/>
      <c r="AA97" s="12" t="str">
        <f>$R$10</f>
        <v>P</v>
      </c>
      <c r="AB97" s="7"/>
      <c r="AC97" s="12" t="str">
        <f>$F$19</f>
        <v>60.3x2.9</v>
      </c>
      <c r="AD97" s="16"/>
    </row>
    <row r="98" spans="1:30" x14ac:dyDescent="0.25">
      <c r="A98" s="19"/>
      <c r="B98" s="7"/>
      <c r="C98" s="7"/>
      <c r="D98" s="7"/>
      <c r="E98" s="12">
        <f>$R$7</f>
        <v>0</v>
      </c>
      <c r="F98" s="16"/>
      <c r="G98" s="18" t="str">
        <f>$L$11</f>
        <v>48.3x2.9</v>
      </c>
      <c r="H98" s="7"/>
      <c r="I98" s="12">
        <f>$L$8</f>
        <v>1500</v>
      </c>
      <c r="J98" s="7"/>
      <c r="K98" s="12">
        <f>$R$7</f>
        <v>0</v>
      </c>
      <c r="L98" s="7"/>
      <c r="M98" s="18">
        <f>$L$8</f>
        <v>1500</v>
      </c>
      <c r="N98" s="7"/>
      <c r="O98" s="12" t="str">
        <f>$R$11</f>
        <v>48.3x2.9</v>
      </c>
      <c r="P98" s="7"/>
      <c r="Q98" s="12">
        <f>$R$7</f>
        <v>0</v>
      </c>
      <c r="R98" s="52"/>
      <c r="S98" s="18" t="str">
        <f>$L$11</f>
        <v>48.3x2.9</v>
      </c>
      <c r="T98" s="7"/>
      <c r="U98" s="12">
        <f>$L$8</f>
        <v>1500</v>
      </c>
      <c r="V98" s="7"/>
      <c r="W98" s="12">
        <f>$R$7</f>
        <v>0</v>
      </c>
      <c r="X98" s="7"/>
      <c r="Y98" s="18" t="str">
        <f>$R$16</f>
        <v>48.3x2.9</v>
      </c>
      <c r="Z98" s="7"/>
      <c r="AA98" s="12" t="str">
        <f>$R$11</f>
        <v>48.3x2.9</v>
      </c>
      <c r="AB98" s="7"/>
      <c r="AC98" s="12">
        <f>$R$7</f>
        <v>0</v>
      </c>
      <c r="AD98" s="16"/>
    </row>
    <row r="99" spans="1:30" x14ac:dyDescent="0.25">
      <c r="A99" s="19"/>
      <c r="B99" s="7"/>
      <c r="C99" s="7"/>
      <c r="D99" s="7"/>
      <c r="E99" s="12">
        <f>$L$7</f>
        <v>1</v>
      </c>
      <c r="F99" s="16"/>
      <c r="G99" s="19"/>
      <c r="H99" s="7"/>
      <c r="I99" s="12">
        <f>$L$8</f>
        <v>1500</v>
      </c>
      <c r="J99" s="7"/>
      <c r="K99" s="12">
        <f>$L$7</f>
        <v>1</v>
      </c>
      <c r="L99" s="7"/>
      <c r="M99" s="18">
        <f>$L$8</f>
        <v>1500</v>
      </c>
      <c r="N99" s="7"/>
      <c r="O99" s="12">
        <f>$L$7</f>
        <v>1</v>
      </c>
      <c r="P99" s="7"/>
      <c r="Q99" s="12">
        <f>$R$8</f>
        <v>1500</v>
      </c>
      <c r="R99" s="52"/>
      <c r="S99" s="18">
        <f>$L$13</f>
        <v>2500</v>
      </c>
      <c r="T99" s="7"/>
      <c r="U99" s="12">
        <f>$L$8</f>
        <v>1500</v>
      </c>
      <c r="V99" s="7"/>
      <c r="W99" s="12">
        <f>$L$7</f>
        <v>1</v>
      </c>
      <c r="X99" s="7"/>
      <c r="Y99" s="18">
        <f>$L$7</f>
        <v>1</v>
      </c>
      <c r="Z99" s="7"/>
      <c r="AA99" s="12">
        <f>$R$13</f>
        <v>2500</v>
      </c>
      <c r="AB99" s="7"/>
      <c r="AC99" s="12">
        <f>$R$8</f>
        <v>1500</v>
      </c>
      <c r="AD99" s="16"/>
    </row>
    <row r="100" spans="1:30" ht="15.75" thickBot="1" x14ac:dyDescent="0.3">
      <c r="A100" s="20"/>
      <c r="B100" s="21"/>
      <c r="C100" s="21"/>
      <c r="D100" s="21"/>
      <c r="E100" s="22">
        <f>$L$7</f>
        <v>1</v>
      </c>
      <c r="F100" s="23"/>
      <c r="G100" s="19"/>
      <c r="H100" s="7"/>
      <c r="I100" s="12" t="str">
        <f>$L$10</f>
        <v>P</v>
      </c>
      <c r="J100" s="7"/>
      <c r="K100" s="12">
        <f>$L$7</f>
        <v>1</v>
      </c>
      <c r="L100" s="7"/>
      <c r="M100" s="18" t="str">
        <f>$L$10</f>
        <v>P</v>
      </c>
      <c r="N100" s="7"/>
      <c r="O100" s="12">
        <f>$L$7</f>
        <v>1</v>
      </c>
      <c r="P100" s="7"/>
      <c r="Q100" s="12" t="str">
        <f>$R$10</f>
        <v>P</v>
      </c>
      <c r="R100" s="52"/>
      <c r="S100" s="18">
        <f>$L$13</f>
        <v>2500</v>
      </c>
      <c r="T100" s="7"/>
      <c r="U100" s="12" t="str">
        <f>$L$10</f>
        <v>P</v>
      </c>
      <c r="V100" s="7"/>
      <c r="W100" s="12">
        <f>$L$7</f>
        <v>1</v>
      </c>
      <c r="X100" s="7"/>
      <c r="Y100" s="18">
        <f>$L$7</f>
        <v>1</v>
      </c>
      <c r="Z100" s="7"/>
      <c r="AA100" s="12" t="str">
        <f>$R$15</f>
        <v>P</v>
      </c>
      <c r="AB100" s="7"/>
      <c r="AC100" s="12" t="str">
        <f>$R$10</f>
        <v>P</v>
      </c>
      <c r="AD100" s="16"/>
    </row>
    <row r="101" spans="1:30" ht="15.75" thickBot="1" x14ac:dyDescent="0.3">
      <c r="G101" s="19"/>
      <c r="H101" s="7"/>
      <c r="I101" s="12" t="str">
        <f>$L$11</f>
        <v>48.3x2.9</v>
      </c>
      <c r="J101" s="7"/>
      <c r="K101" s="12">
        <f>$L$8</f>
        <v>1500</v>
      </c>
      <c r="L101" s="7"/>
      <c r="M101" s="24" t="str">
        <f>$L$11</f>
        <v>48.3x2.9</v>
      </c>
      <c r="N101" s="7"/>
      <c r="O101" s="12">
        <f>$L$8</f>
        <v>1500</v>
      </c>
      <c r="P101" s="7"/>
      <c r="Q101" s="12" t="str">
        <f>$R$11</f>
        <v>48.3x2.9</v>
      </c>
      <c r="R101" s="52"/>
      <c r="S101" s="18" t="str">
        <f>$L$15</f>
        <v>P</v>
      </c>
      <c r="T101" s="7"/>
      <c r="U101" s="12" t="str">
        <f>$L$11</f>
        <v>48.3x2.9</v>
      </c>
      <c r="V101" s="7"/>
      <c r="W101" s="12">
        <f>$L$8</f>
        <v>1500</v>
      </c>
      <c r="X101" s="7"/>
      <c r="Y101" s="18">
        <f>$L$8</f>
        <v>1500</v>
      </c>
      <c r="Z101" s="7"/>
      <c r="AA101" s="12" t="str">
        <f>$R$16</f>
        <v>48.3x2.9</v>
      </c>
      <c r="AB101" s="7"/>
      <c r="AC101" s="12" t="str">
        <f>$R$11</f>
        <v>48.3x2.9</v>
      </c>
      <c r="AD101" s="16"/>
    </row>
    <row r="102" spans="1:30" x14ac:dyDescent="0.25">
      <c r="G102" s="19"/>
      <c r="H102" s="7"/>
      <c r="I102" s="7"/>
      <c r="J102" s="7"/>
      <c r="K102" s="12">
        <f>$L$8</f>
        <v>1500</v>
      </c>
      <c r="L102" s="7"/>
      <c r="M102" s="19"/>
      <c r="N102" s="7"/>
      <c r="O102" s="12">
        <f>$L$8</f>
        <v>1500</v>
      </c>
      <c r="P102" s="7"/>
      <c r="Q102" s="12">
        <f>$L$7</f>
        <v>1</v>
      </c>
      <c r="R102" s="52"/>
      <c r="S102" s="18" t="str">
        <f>$L$16</f>
        <v>48.3x2.9</v>
      </c>
      <c r="T102" s="7"/>
      <c r="U102" s="18">
        <f>$L$13</f>
        <v>2500</v>
      </c>
      <c r="V102" s="7"/>
      <c r="W102" s="12">
        <f>$L$8</f>
        <v>1500</v>
      </c>
      <c r="X102" s="7"/>
      <c r="Y102" s="18">
        <f>$L$8</f>
        <v>1500</v>
      </c>
      <c r="Z102" s="7"/>
      <c r="AA102" s="12">
        <f>$L$7</f>
        <v>1</v>
      </c>
      <c r="AB102" s="7"/>
      <c r="AC102" s="12">
        <f>$R$13</f>
        <v>2500</v>
      </c>
      <c r="AD102" s="16"/>
    </row>
    <row r="103" spans="1:30" x14ac:dyDescent="0.25">
      <c r="G103" s="19"/>
      <c r="H103" s="7"/>
      <c r="I103" s="7"/>
      <c r="J103" s="7"/>
      <c r="K103" s="12" t="str">
        <f>$L$10</f>
        <v>P</v>
      </c>
      <c r="L103" s="7"/>
      <c r="M103" s="19"/>
      <c r="N103" s="7"/>
      <c r="O103" s="12" t="str">
        <f>$L$10</f>
        <v>P</v>
      </c>
      <c r="P103" s="7"/>
      <c r="Q103" s="12">
        <f>$L$7</f>
        <v>1</v>
      </c>
      <c r="R103" s="52"/>
      <c r="S103" s="19"/>
      <c r="T103" s="7"/>
      <c r="U103" s="18">
        <f>$L$13</f>
        <v>2500</v>
      </c>
      <c r="V103" s="7"/>
      <c r="W103" s="12" t="str">
        <f>$L$10</f>
        <v>P</v>
      </c>
      <c r="X103" s="7"/>
      <c r="Y103" s="18" t="str">
        <f>$L$10</f>
        <v>P</v>
      </c>
      <c r="Z103" s="7"/>
      <c r="AA103" s="12">
        <f>$L$7</f>
        <v>1</v>
      </c>
      <c r="AB103" s="7"/>
      <c r="AC103" s="12" t="str">
        <f>$R$15</f>
        <v>P</v>
      </c>
      <c r="AD103" s="16"/>
    </row>
    <row r="104" spans="1:30" ht="15.75" thickBot="1" x14ac:dyDescent="0.3">
      <c r="G104" s="20"/>
      <c r="H104" s="21"/>
      <c r="I104" s="21"/>
      <c r="J104" s="21"/>
      <c r="K104" s="22" t="str">
        <f>$L$11</f>
        <v>48.3x2.9</v>
      </c>
      <c r="L104" s="21"/>
      <c r="M104" s="19"/>
      <c r="N104" s="7"/>
      <c r="O104" s="22" t="str">
        <f>$L$11</f>
        <v>48.3x2.9</v>
      </c>
      <c r="P104" s="7"/>
      <c r="Q104" s="12">
        <f>$L$8</f>
        <v>1500</v>
      </c>
      <c r="R104" s="52"/>
      <c r="S104" s="19"/>
      <c r="T104" s="7"/>
      <c r="U104" s="18" t="str">
        <f>$L$15</f>
        <v>P</v>
      </c>
      <c r="V104" s="7"/>
      <c r="W104" s="12" t="str">
        <f>$L$11</f>
        <v>48.3x2.9</v>
      </c>
      <c r="X104" s="7"/>
      <c r="Y104" s="18" t="str">
        <f>$L$11</f>
        <v>48.3x2.9</v>
      </c>
      <c r="Z104" s="7"/>
      <c r="AA104" s="12">
        <f>$L$8</f>
        <v>1500</v>
      </c>
      <c r="AB104" s="7"/>
      <c r="AC104" s="12" t="str">
        <f>$R$16</f>
        <v>48.3x2.9</v>
      </c>
      <c r="AD104" s="16"/>
    </row>
    <row r="105" spans="1:30" x14ac:dyDescent="0.25">
      <c r="M105" s="19"/>
      <c r="N105" s="7"/>
      <c r="O105" s="7"/>
      <c r="P105" s="7"/>
      <c r="Q105" s="12">
        <f>$L$8</f>
        <v>1500</v>
      </c>
      <c r="R105" s="52"/>
      <c r="S105" s="19"/>
      <c r="T105" s="7"/>
      <c r="U105" s="18" t="str">
        <f>$L$16</f>
        <v>48.3x2.9</v>
      </c>
      <c r="V105" s="7"/>
      <c r="W105" s="18">
        <f>$L$13</f>
        <v>2500</v>
      </c>
      <c r="X105" s="7"/>
      <c r="Y105" s="18">
        <f>$L$13</f>
        <v>2500</v>
      </c>
      <c r="Z105" s="7"/>
      <c r="AA105" s="12">
        <f>$L$8</f>
        <v>1500</v>
      </c>
      <c r="AB105" s="7"/>
      <c r="AC105" s="12">
        <f>$L$7</f>
        <v>1</v>
      </c>
      <c r="AD105" s="16"/>
    </row>
    <row r="106" spans="1:30" x14ac:dyDescent="0.25">
      <c r="M106" s="19"/>
      <c r="N106" s="7"/>
      <c r="O106" s="7"/>
      <c r="P106" s="7"/>
      <c r="Q106" s="12" t="str">
        <f>$L$10</f>
        <v>P</v>
      </c>
      <c r="R106" s="52"/>
      <c r="S106" s="19"/>
      <c r="T106" s="7"/>
      <c r="U106" s="7"/>
      <c r="V106" s="7"/>
      <c r="W106" s="18">
        <f>$L$13</f>
        <v>2500</v>
      </c>
      <c r="X106" s="7"/>
      <c r="Y106" s="18">
        <f>$L$13</f>
        <v>2500</v>
      </c>
      <c r="Z106" s="7"/>
      <c r="AA106" s="12" t="str">
        <f>$L$10</f>
        <v>P</v>
      </c>
      <c r="AB106" s="7"/>
      <c r="AC106" s="12">
        <f>$L$7</f>
        <v>1</v>
      </c>
      <c r="AD106" s="16"/>
    </row>
    <row r="107" spans="1:30" ht="15.75" thickBot="1" x14ac:dyDescent="0.3">
      <c r="M107" s="20"/>
      <c r="N107" s="21"/>
      <c r="O107" s="21"/>
      <c r="P107" s="21"/>
      <c r="Q107" s="22" t="str">
        <f>$L$11</f>
        <v>48.3x2.9</v>
      </c>
      <c r="R107" s="53"/>
      <c r="S107" s="19"/>
      <c r="T107" s="7"/>
      <c r="U107" s="7"/>
      <c r="V107" s="7"/>
      <c r="W107" s="18" t="str">
        <f>$L$15</f>
        <v>P</v>
      </c>
      <c r="X107" s="7"/>
      <c r="Y107" s="18" t="str">
        <f>$L$15</f>
        <v>P</v>
      </c>
      <c r="Z107" s="7"/>
      <c r="AA107" s="12" t="str">
        <f>$L$11</f>
        <v>48.3x2.9</v>
      </c>
      <c r="AB107" s="7"/>
      <c r="AC107" s="12">
        <f>$L$8</f>
        <v>1500</v>
      </c>
      <c r="AD107" s="16"/>
    </row>
    <row r="108" spans="1:30" ht="15.75" thickBot="1" x14ac:dyDescent="0.3">
      <c r="S108" s="20"/>
      <c r="T108" s="21"/>
      <c r="U108" s="21"/>
      <c r="V108" s="21"/>
      <c r="W108" s="18" t="str">
        <f>$L$16</f>
        <v>48.3x2.9</v>
      </c>
      <c r="X108" s="21"/>
      <c r="Y108" s="18" t="str">
        <f>$L$16</f>
        <v>48.3x2.9</v>
      </c>
      <c r="Z108" s="7"/>
      <c r="AA108" s="12">
        <f>$L$13</f>
        <v>2500</v>
      </c>
      <c r="AB108" s="7"/>
      <c r="AC108" s="12">
        <f>$L$8</f>
        <v>1500</v>
      </c>
      <c r="AD108" s="16"/>
    </row>
    <row r="109" spans="1:30" x14ac:dyDescent="0.25">
      <c r="Y109" s="19"/>
      <c r="Z109" s="7"/>
      <c r="AA109" s="12">
        <f>$L$13</f>
        <v>2500</v>
      </c>
      <c r="AB109" s="7"/>
      <c r="AC109" s="12" t="str">
        <f>$L$10</f>
        <v>P</v>
      </c>
      <c r="AD109" s="16"/>
    </row>
    <row r="110" spans="1:30" x14ac:dyDescent="0.25">
      <c r="Y110" s="19"/>
      <c r="Z110" s="7"/>
      <c r="AA110" s="12" t="str">
        <f>$L$15</f>
        <v>P</v>
      </c>
      <c r="AB110" s="7"/>
      <c r="AC110" s="12" t="str">
        <f>$L$11</f>
        <v>48.3x2.9</v>
      </c>
      <c r="AD110" s="16"/>
    </row>
    <row r="111" spans="1:30" x14ac:dyDescent="0.25">
      <c r="Y111" s="19"/>
      <c r="Z111" s="7"/>
      <c r="AA111" s="12" t="str">
        <f>$L$16</f>
        <v>48.3x2.9</v>
      </c>
      <c r="AB111" s="7"/>
      <c r="AC111" s="12">
        <f>$L$13</f>
        <v>2500</v>
      </c>
      <c r="AD111" s="16"/>
    </row>
    <row r="112" spans="1:30" x14ac:dyDescent="0.25">
      <c r="Y112" s="19"/>
      <c r="Z112" s="7"/>
      <c r="AA112" s="7"/>
      <c r="AB112" s="7"/>
      <c r="AC112" s="12">
        <f>$L$13</f>
        <v>2500</v>
      </c>
      <c r="AD112" s="16"/>
    </row>
    <row r="113" spans="25:30" x14ac:dyDescent="0.25">
      <c r="Y113" s="19"/>
      <c r="Z113" s="7"/>
      <c r="AA113" s="7"/>
      <c r="AB113" s="7"/>
      <c r="AC113" s="12" t="str">
        <f>$L$15</f>
        <v>P</v>
      </c>
      <c r="AD113" s="16"/>
    </row>
    <row r="114" spans="25:30" ht="15.75" thickBot="1" x14ac:dyDescent="0.3">
      <c r="Y114" s="20"/>
      <c r="Z114" s="21"/>
      <c r="AA114" s="21"/>
      <c r="AB114" s="21"/>
      <c r="AC114" s="22" t="str">
        <f>$L$16</f>
        <v>48.3x2.9</v>
      </c>
      <c r="AD114" s="23"/>
    </row>
    <row r="186" spans="3:7" x14ac:dyDescent="0.25">
      <c r="C186">
        <v>0</v>
      </c>
      <c r="D186" t="s">
        <v>1</v>
      </c>
      <c r="G186" t="s">
        <v>1</v>
      </c>
    </row>
    <row r="187" spans="3:7" x14ac:dyDescent="0.25">
      <c r="C187">
        <v>1</v>
      </c>
      <c r="D187" t="s">
        <v>2</v>
      </c>
      <c r="G187" t="s">
        <v>120</v>
      </c>
    </row>
    <row r="188" spans="3:7" x14ac:dyDescent="0.25">
      <c r="C188">
        <v>2</v>
      </c>
      <c r="D188" t="s">
        <v>3</v>
      </c>
      <c r="G188" t="s">
        <v>3</v>
      </c>
    </row>
    <row r="189" spans="3:7" x14ac:dyDescent="0.25">
      <c r="C189">
        <v>3</v>
      </c>
      <c r="D189" t="s">
        <v>4</v>
      </c>
      <c r="G189" t="s">
        <v>121</v>
      </c>
    </row>
    <row r="190" spans="3:7" x14ac:dyDescent="0.25">
      <c r="C190">
        <v>4</v>
      </c>
      <c r="D190" t="s">
        <v>120</v>
      </c>
      <c r="G190" t="s">
        <v>2</v>
      </c>
    </row>
    <row r="191" spans="3:7" x14ac:dyDescent="0.25">
      <c r="C191">
        <v>5</v>
      </c>
      <c r="D191" t="s">
        <v>121</v>
      </c>
      <c r="G191" t="s">
        <v>87</v>
      </c>
    </row>
    <row r="192" spans="3:7" x14ac:dyDescent="0.25">
      <c r="C192">
        <v>6</v>
      </c>
      <c r="D192" t="s">
        <v>6</v>
      </c>
      <c r="G192" t="s">
        <v>9</v>
      </c>
    </row>
    <row r="193" spans="1:27" x14ac:dyDescent="0.25">
      <c r="C193">
        <v>7</v>
      </c>
      <c r="D193" t="s">
        <v>7</v>
      </c>
      <c r="G193" t="s">
        <v>6</v>
      </c>
    </row>
    <row r="194" spans="1:27" x14ac:dyDescent="0.25">
      <c r="C194">
        <v>8</v>
      </c>
      <c r="D194" t="s">
        <v>8</v>
      </c>
      <c r="G194" t="s">
        <v>11</v>
      </c>
    </row>
    <row r="195" spans="1:27" x14ac:dyDescent="0.25">
      <c r="C195">
        <v>9</v>
      </c>
      <c r="D195" t="s">
        <v>9</v>
      </c>
      <c r="G195" t="s">
        <v>4</v>
      </c>
    </row>
    <row r="196" spans="1:27" x14ac:dyDescent="0.25">
      <c r="C196">
        <v>10</v>
      </c>
      <c r="D196" t="s">
        <v>11</v>
      </c>
      <c r="G196" t="s">
        <v>8</v>
      </c>
    </row>
    <row r="197" spans="1:27" x14ac:dyDescent="0.25">
      <c r="C197">
        <v>11</v>
      </c>
      <c r="D197" t="s">
        <v>87</v>
      </c>
      <c r="G197" t="s">
        <v>236</v>
      </c>
    </row>
    <row r="198" spans="1:27" x14ac:dyDescent="0.25">
      <c r="G198" t="s">
        <v>7</v>
      </c>
    </row>
    <row r="206" spans="1:27" x14ac:dyDescent="0.25">
      <c r="A206" s="106" t="s">
        <v>1</v>
      </c>
      <c r="B206" s="106"/>
      <c r="C206" s="106" t="s">
        <v>120</v>
      </c>
      <c r="D206" s="106"/>
      <c r="E206" s="106" t="s">
        <v>3</v>
      </c>
      <c r="F206" s="106"/>
      <c r="G206" s="106" t="s">
        <v>121</v>
      </c>
      <c r="H206" s="106"/>
      <c r="I206" s="106" t="s">
        <v>2</v>
      </c>
      <c r="J206" s="106"/>
      <c r="K206" s="106" t="s">
        <v>87</v>
      </c>
      <c r="L206" s="106"/>
      <c r="M206" s="106" t="s">
        <v>9</v>
      </c>
      <c r="N206" s="106"/>
      <c r="O206" s="106" t="s">
        <v>6</v>
      </c>
      <c r="P206" s="106"/>
      <c r="Q206" s="106" t="s">
        <v>11</v>
      </c>
      <c r="R206" s="106"/>
      <c r="S206" s="106" t="s">
        <v>4</v>
      </c>
      <c r="T206" s="106"/>
      <c r="U206" s="104" t="s">
        <v>8</v>
      </c>
      <c r="V206" s="105"/>
      <c r="W206" s="104" t="s">
        <v>236</v>
      </c>
      <c r="X206" s="105"/>
      <c r="Y206" s="104" t="s">
        <v>7</v>
      </c>
      <c r="Z206" s="105"/>
    </row>
    <row r="207" spans="1:27" x14ac:dyDescent="0.25">
      <c r="A207" s="67">
        <v>0</v>
      </c>
      <c r="B207" s="67"/>
      <c r="C207" s="66">
        <v>1</v>
      </c>
      <c r="D207" s="66"/>
      <c r="E207" s="67">
        <v>1</v>
      </c>
      <c r="F207" s="67"/>
      <c r="G207" s="66">
        <v>3</v>
      </c>
      <c r="H207" s="66"/>
      <c r="I207" s="67">
        <v>1</v>
      </c>
      <c r="J207" s="67"/>
      <c r="K207" s="66">
        <v>5</v>
      </c>
      <c r="L207" s="66"/>
      <c r="M207" s="67">
        <v>2</v>
      </c>
      <c r="N207" s="67"/>
      <c r="O207" s="66">
        <v>7</v>
      </c>
      <c r="P207" s="66"/>
      <c r="Q207" s="67">
        <v>2</v>
      </c>
      <c r="R207" s="67"/>
      <c r="S207" s="66">
        <v>9</v>
      </c>
      <c r="T207" s="66"/>
      <c r="U207" s="67">
        <v>10</v>
      </c>
      <c r="V207" s="67"/>
      <c r="W207" s="66">
        <v>1</v>
      </c>
      <c r="X207" s="66"/>
      <c r="Y207" s="67">
        <v>12</v>
      </c>
      <c r="Z207" s="67"/>
      <c r="AA207" t="s">
        <v>26</v>
      </c>
    </row>
    <row r="208" spans="1:27" x14ac:dyDescent="0.25">
      <c r="A208" s="67" t="s">
        <v>122</v>
      </c>
      <c r="B208" s="67"/>
      <c r="C208" s="66" t="s">
        <v>138</v>
      </c>
      <c r="D208" s="66"/>
      <c r="E208" s="67">
        <v>400</v>
      </c>
      <c r="F208" s="67"/>
      <c r="G208" s="66" t="s">
        <v>140</v>
      </c>
      <c r="H208" s="66"/>
      <c r="I208" s="67">
        <v>200</v>
      </c>
      <c r="J208" s="67"/>
      <c r="K208" s="66" t="s">
        <v>142</v>
      </c>
      <c r="L208" s="66"/>
      <c r="M208" s="67">
        <v>500</v>
      </c>
      <c r="N208" s="67"/>
      <c r="O208" s="66" t="s">
        <v>144</v>
      </c>
      <c r="P208" s="66"/>
      <c r="Q208" s="67">
        <v>500</v>
      </c>
      <c r="R208" s="67"/>
      <c r="S208" s="66" t="s">
        <v>146</v>
      </c>
      <c r="T208" s="66"/>
      <c r="U208" s="67" t="s">
        <v>148</v>
      </c>
      <c r="V208" s="67"/>
      <c r="W208" s="66">
        <v>500</v>
      </c>
      <c r="X208" s="66"/>
      <c r="Y208" s="67" t="s">
        <v>237</v>
      </c>
      <c r="Z208" s="67"/>
      <c r="AA208" t="s">
        <v>14</v>
      </c>
    </row>
    <row r="209" spans="1:27" x14ac:dyDescent="0.25">
      <c r="A209" s="67" t="s">
        <v>123</v>
      </c>
      <c r="B209" s="67"/>
      <c r="C209" s="66" t="s">
        <v>139</v>
      </c>
      <c r="D209" s="66"/>
      <c r="E209" s="67">
        <v>400</v>
      </c>
      <c r="F209" s="67"/>
      <c r="G209" s="66" t="s">
        <v>141</v>
      </c>
      <c r="H209" s="66"/>
      <c r="I209" s="67">
        <v>200</v>
      </c>
      <c r="J209" s="67"/>
      <c r="K209" s="66" t="s">
        <v>143</v>
      </c>
      <c r="L209" s="66"/>
      <c r="M209" s="67">
        <v>600</v>
      </c>
      <c r="N209" s="67"/>
      <c r="O209" s="66" t="s">
        <v>145</v>
      </c>
      <c r="P209" s="66"/>
      <c r="Q209" s="67">
        <v>600</v>
      </c>
      <c r="R209" s="67"/>
      <c r="S209" s="66" t="s">
        <v>147</v>
      </c>
      <c r="T209" s="66"/>
      <c r="U209" s="67" t="s">
        <v>149</v>
      </c>
      <c r="V209" s="67"/>
      <c r="W209" s="66">
        <v>500</v>
      </c>
      <c r="X209" s="66"/>
      <c r="Y209" s="67" t="s">
        <v>238</v>
      </c>
      <c r="Z209" s="67"/>
      <c r="AA209" t="s">
        <v>15</v>
      </c>
    </row>
    <row r="210" spans="1:27" x14ac:dyDescent="0.25">
      <c r="A210" s="67" t="s">
        <v>124</v>
      </c>
      <c r="B210" s="67"/>
      <c r="C210" s="66" t="s">
        <v>150</v>
      </c>
      <c r="D210" s="66"/>
      <c r="E210" s="67">
        <v>6000</v>
      </c>
      <c r="F210" s="67"/>
      <c r="G210" s="66" t="s">
        <v>164</v>
      </c>
      <c r="H210" s="66"/>
      <c r="I210" s="67">
        <v>6000</v>
      </c>
      <c r="J210" s="67"/>
      <c r="K210" s="66" t="s">
        <v>178</v>
      </c>
      <c r="L210" s="66"/>
      <c r="M210" s="67">
        <v>6000</v>
      </c>
      <c r="N210" s="67"/>
      <c r="O210" s="66" t="s">
        <v>192</v>
      </c>
      <c r="P210" s="66"/>
      <c r="Q210" s="67">
        <v>7500</v>
      </c>
      <c r="R210" s="67"/>
      <c r="S210" s="66" t="s">
        <v>206</v>
      </c>
      <c r="T210" s="66"/>
      <c r="U210" s="67" t="s">
        <v>220</v>
      </c>
      <c r="V210" s="67"/>
      <c r="W210" s="66">
        <v>9000</v>
      </c>
      <c r="X210" s="66"/>
      <c r="Y210" s="67" t="s">
        <v>239</v>
      </c>
      <c r="Z210" s="67"/>
      <c r="AA210" t="s">
        <v>23</v>
      </c>
    </row>
    <row r="211" spans="1:27" x14ac:dyDescent="0.25">
      <c r="A211" s="67" t="s">
        <v>125</v>
      </c>
      <c r="B211" s="67"/>
      <c r="C211" s="66" t="s">
        <v>151</v>
      </c>
      <c r="D211" s="66"/>
      <c r="E211" s="67">
        <v>3000</v>
      </c>
      <c r="F211" s="67"/>
      <c r="G211" s="66" t="s">
        <v>165</v>
      </c>
      <c r="H211" s="66"/>
      <c r="I211" s="67">
        <v>2500</v>
      </c>
      <c r="J211" s="67"/>
      <c r="K211" s="66" t="s">
        <v>179</v>
      </c>
      <c r="L211" s="66"/>
      <c r="M211" s="67">
        <v>1000</v>
      </c>
      <c r="N211" s="67"/>
      <c r="O211" s="66" t="s">
        <v>193</v>
      </c>
      <c r="P211" s="66"/>
      <c r="Q211" s="67">
        <v>2500</v>
      </c>
      <c r="R211" s="67"/>
      <c r="S211" s="66" t="s">
        <v>207</v>
      </c>
      <c r="T211" s="66"/>
      <c r="U211" s="67" t="s">
        <v>221</v>
      </c>
      <c r="V211" s="67"/>
      <c r="W211" s="66">
        <v>5500</v>
      </c>
      <c r="X211" s="66"/>
      <c r="Y211" s="67" t="s">
        <v>240</v>
      </c>
      <c r="Z211" s="67"/>
      <c r="AA211" t="s">
        <v>27</v>
      </c>
    </row>
    <row r="212" spans="1:27" x14ac:dyDescent="0.25">
      <c r="A212" s="67" t="s">
        <v>126</v>
      </c>
      <c r="B212" s="67"/>
      <c r="C212" s="66" t="s">
        <v>152</v>
      </c>
      <c r="D212" s="66"/>
      <c r="E212" s="67">
        <v>0</v>
      </c>
      <c r="F212" s="67"/>
      <c r="G212" s="66" t="s">
        <v>166</v>
      </c>
      <c r="H212" s="66"/>
      <c r="I212" s="67">
        <v>0</v>
      </c>
      <c r="J212" s="67"/>
      <c r="K212" s="66" t="s">
        <v>180</v>
      </c>
      <c r="L212" s="66"/>
      <c r="M212" s="67">
        <v>2500</v>
      </c>
      <c r="N212" s="67"/>
      <c r="O212" s="66" t="s">
        <v>194</v>
      </c>
      <c r="P212" s="66"/>
      <c r="Q212" s="67">
        <v>2500</v>
      </c>
      <c r="R212" s="67"/>
      <c r="S212" s="66" t="s">
        <v>208</v>
      </c>
      <c r="T212" s="66"/>
      <c r="U212" s="67" t="s">
        <v>222</v>
      </c>
      <c r="V212" s="67"/>
      <c r="W212" s="66">
        <v>0</v>
      </c>
      <c r="X212" s="66"/>
      <c r="Y212" s="67" t="s">
        <v>241</v>
      </c>
      <c r="Z212" s="67"/>
      <c r="AA212" t="s">
        <v>24</v>
      </c>
    </row>
    <row r="213" spans="1:27" x14ac:dyDescent="0.25">
      <c r="A213" s="67" t="s">
        <v>127</v>
      </c>
      <c r="B213" s="67"/>
      <c r="C213" s="66" t="s">
        <v>153</v>
      </c>
      <c r="D213" s="66"/>
      <c r="E213" s="67">
        <v>0</v>
      </c>
      <c r="F213" s="67"/>
      <c r="G213" s="66" t="s">
        <v>167</v>
      </c>
      <c r="H213" s="66"/>
      <c r="I213" s="67">
        <v>0</v>
      </c>
      <c r="J213" s="67"/>
      <c r="K213" s="66" t="s">
        <v>181</v>
      </c>
      <c r="L213" s="66"/>
      <c r="M213" s="67">
        <v>0</v>
      </c>
      <c r="N213" s="67"/>
      <c r="O213" s="66" t="s">
        <v>195</v>
      </c>
      <c r="P213" s="66"/>
      <c r="Q213" s="67">
        <v>0</v>
      </c>
      <c r="R213" s="67"/>
      <c r="S213" s="66" t="s">
        <v>209</v>
      </c>
      <c r="T213" s="66"/>
      <c r="U213" s="67" t="s">
        <v>223</v>
      </c>
      <c r="V213" s="67"/>
      <c r="W213" s="66">
        <v>0</v>
      </c>
      <c r="X213" s="66"/>
      <c r="Y213" s="67" t="s">
        <v>242</v>
      </c>
      <c r="Z213" s="67"/>
      <c r="AA213" t="s">
        <v>25</v>
      </c>
    </row>
    <row r="214" spans="1:27" x14ac:dyDescent="0.25">
      <c r="A214" s="67" t="s">
        <v>128</v>
      </c>
      <c r="B214" s="67"/>
      <c r="C214" s="66" t="s">
        <v>154</v>
      </c>
      <c r="D214" s="66"/>
      <c r="E214" s="67">
        <v>88.9</v>
      </c>
      <c r="F214" s="67"/>
      <c r="G214" s="66" t="s">
        <v>168</v>
      </c>
      <c r="H214" s="66"/>
      <c r="I214" s="67">
        <v>88.9</v>
      </c>
      <c r="J214" s="67"/>
      <c r="K214" s="66" t="s">
        <v>182</v>
      </c>
      <c r="L214" s="66"/>
      <c r="M214" s="67">
        <v>139.69999999999999</v>
      </c>
      <c r="N214" s="67"/>
      <c r="O214" s="66" t="s">
        <v>196</v>
      </c>
      <c r="P214" s="66"/>
      <c r="Q214" s="67">
        <v>139.69999999999999</v>
      </c>
      <c r="R214" s="67"/>
      <c r="S214" s="66" t="s">
        <v>210</v>
      </c>
      <c r="T214" s="66"/>
      <c r="U214" s="67" t="s">
        <v>224</v>
      </c>
      <c r="V214" s="67"/>
      <c r="W214" s="66">
        <v>114.3</v>
      </c>
      <c r="X214" s="66"/>
      <c r="Y214" s="67" t="s">
        <v>243</v>
      </c>
      <c r="Z214" s="67"/>
      <c r="AA214" t="s">
        <v>28</v>
      </c>
    </row>
    <row r="215" spans="1:27" x14ac:dyDescent="0.25">
      <c r="A215" s="67" t="s">
        <v>129</v>
      </c>
      <c r="B215" s="67"/>
      <c r="C215" s="66" t="s">
        <v>155</v>
      </c>
      <c r="D215" s="66"/>
      <c r="E215" s="67">
        <v>88.9</v>
      </c>
      <c r="F215" s="67"/>
      <c r="G215" s="66" t="s">
        <v>169</v>
      </c>
      <c r="H215" s="66"/>
      <c r="I215" s="67">
        <v>88.9</v>
      </c>
      <c r="J215" s="67"/>
      <c r="K215" s="66" t="s">
        <v>183</v>
      </c>
      <c r="L215" s="66"/>
      <c r="M215" s="67">
        <v>139.69999999999999</v>
      </c>
      <c r="N215" s="67"/>
      <c r="O215" s="66" t="s">
        <v>197</v>
      </c>
      <c r="P215" s="66"/>
      <c r="Q215" s="67">
        <v>139.69999999999999</v>
      </c>
      <c r="R215" s="67"/>
      <c r="S215" s="66" t="s">
        <v>211</v>
      </c>
      <c r="T215" s="66"/>
      <c r="U215" s="67" t="s">
        <v>225</v>
      </c>
      <c r="V215" s="67"/>
      <c r="W215" s="66">
        <v>88.9</v>
      </c>
      <c r="X215" s="66"/>
      <c r="Y215" s="67" t="s">
        <v>244</v>
      </c>
      <c r="Z215" s="67"/>
      <c r="AA215" t="s">
        <v>29</v>
      </c>
    </row>
    <row r="216" spans="1:27" x14ac:dyDescent="0.25">
      <c r="A216" s="67" t="s">
        <v>130</v>
      </c>
      <c r="B216" s="67"/>
      <c r="C216" s="66" t="s">
        <v>156</v>
      </c>
      <c r="D216" s="66"/>
      <c r="E216" s="67">
        <v>0</v>
      </c>
      <c r="F216" s="67"/>
      <c r="G216" s="66" t="s">
        <v>170</v>
      </c>
      <c r="H216" s="66"/>
      <c r="I216" s="67">
        <v>0</v>
      </c>
      <c r="J216" s="67"/>
      <c r="K216" s="66" t="s">
        <v>184</v>
      </c>
      <c r="L216" s="66"/>
      <c r="M216" s="67">
        <v>139.69999999999999</v>
      </c>
      <c r="N216" s="67"/>
      <c r="O216" s="66" t="s">
        <v>198</v>
      </c>
      <c r="P216" s="66"/>
      <c r="Q216" s="67">
        <v>139.69999999999999</v>
      </c>
      <c r="R216" s="67"/>
      <c r="S216" s="66" t="s">
        <v>212</v>
      </c>
      <c r="T216" s="66"/>
      <c r="U216" s="67" t="s">
        <v>226</v>
      </c>
      <c r="V216" s="67"/>
      <c r="W216" s="66">
        <v>0</v>
      </c>
      <c r="X216" s="66"/>
      <c r="Y216" s="67" t="s">
        <v>245</v>
      </c>
      <c r="Z216" s="67"/>
      <c r="AA216" t="s">
        <v>30</v>
      </c>
    </row>
    <row r="217" spans="1:27" x14ac:dyDescent="0.25">
      <c r="A217" s="67" t="s">
        <v>131</v>
      </c>
      <c r="B217" s="67"/>
      <c r="C217" s="66" t="s">
        <v>157</v>
      </c>
      <c r="D217" s="66"/>
      <c r="E217" s="67">
        <v>2000</v>
      </c>
      <c r="F217" s="67"/>
      <c r="G217" s="66" t="s">
        <v>171</v>
      </c>
      <c r="H217" s="66"/>
      <c r="I217" s="67">
        <v>1500</v>
      </c>
      <c r="J217" s="67"/>
      <c r="K217" s="66" t="s">
        <v>185</v>
      </c>
      <c r="L217" s="66"/>
      <c r="M217" s="67">
        <v>1000</v>
      </c>
      <c r="N217" s="67"/>
      <c r="O217" s="66" t="s">
        <v>199</v>
      </c>
      <c r="P217" s="66"/>
      <c r="Q217" s="67">
        <v>1000</v>
      </c>
      <c r="R217" s="67"/>
      <c r="S217" s="66" t="s">
        <v>213</v>
      </c>
      <c r="T217" s="66"/>
      <c r="U217" s="67" t="s">
        <v>227</v>
      </c>
      <c r="V217" s="67"/>
      <c r="W217" s="66">
        <v>2500</v>
      </c>
      <c r="X217" s="66"/>
      <c r="Y217" s="67" t="s">
        <v>246</v>
      </c>
      <c r="Z217" s="67"/>
      <c r="AA217" t="s">
        <v>35</v>
      </c>
    </row>
    <row r="218" spans="1:27" x14ac:dyDescent="0.25">
      <c r="A218" s="67" t="s">
        <v>132</v>
      </c>
      <c r="B218" s="67"/>
      <c r="C218" s="66" t="s">
        <v>158</v>
      </c>
      <c r="D218" s="66"/>
      <c r="E218" s="67">
        <v>4500</v>
      </c>
      <c r="F218" s="67"/>
      <c r="G218" s="66" t="s">
        <v>172</v>
      </c>
      <c r="H218" s="66"/>
      <c r="I218" s="67">
        <v>4000</v>
      </c>
      <c r="J218" s="67"/>
      <c r="K218" s="66" t="s">
        <v>186</v>
      </c>
      <c r="L218" s="66"/>
      <c r="M218" s="67">
        <v>6000</v>
      </c>
      <c r="N218" s="67"/>
      <c r="O218" s="66" t="s">
        <v>200</v>
      </c>
      <c r="P218" s="66"/>
      <c r="Q218" s="67">
        <v>6000</v>
      </c>
      <c r="R218" s="67"/>
      <c r="S218" s="66" t="s">
        <v>214</v>
      </c>
      <c r="T218" s="66"/>
      <c r="U218" s="67" t="s">
        <v>228</v>
      </c>
      <c r="V218" s="67"/>
      <c r="W218" s="66">
        <v>6000</v>
      </c>
      <c r="X218" s="66"/>
      <c r="Y218" s="67" t="s">
        <v>247</v>
      </c>
      <c r="Z218" s="67"/>
      <c r="AA218" t="s">
        <v>34</v>
      </c>
    </row>
    <row r="219" spans="1:27" x14ac:dyDescent="0.25">
      <c r="A219" s="67" t="s">
        <v>133</v>
      </c>
      <c r="B219" s="67"/>
      <c r="C219" s="66" t="s">
        <v>159</v>
      </c>
      <c r="D219" s="66"/>
      <c r="E219" s="67">
        <v>300</v>
      </c>
      <c r="F219" s="67"/>
      <c r="G219" s="66" t="s">
        <v>173</v>
      </c>
      <c r="H219" s="66"/>
      <c r="I219" s="67">
        <v>300</v>
      </c>
      <c r="J219" s="67"/>
      <c r="K219" s="66" t="s">
        <v>187</v>
      </c>
      <c r="L219" s="66"/>
      <c r="M219" s="67">
        <v>300</v>
      </c>
      <c r="N219" s="67"/>
      <c r="O219" s="66" t="s">
        <v>201</v>
      </c>
      <c r="P219" s="66"/>
      <c r="Q219" s="67">
        <v>300</v>
      </c>
      <c r="R219" s="67"/>
      <c r="S219" s="66" t="s">
        <v>215</v>
      </c>
      <c r="T219" s="66"/>
      <c r="U219" s="67" t="s">
        <v>229</v>
      </c>
      <c r="V219" s="67"/>
      <c r="W219" s="66">
        <v>300</v>
      </c>
      <c r="X219" s="66"/>
      <c r="Y219" s="67" t="s">
        <v>248</v>
      </c>
      <c r="Z219" s="67"/>
      <c r="AA219" t="s">
        <v>36</v>
      </c>
    </row>
    <row r="220" spans="1:27" x14ac:dyDescent="0.25">
      <c r="A220" s="67" t="s">
        <v>134</v>
      </c>
      <c r="B220" s="67"/>
      <c r="C220" s="66" t="s">
        <v>160</v>
      </c>
      <c r="D220" s="66"/>
      <c r="E220" s="67">
        <v>300</v>
      </c>
      <c r="F220" s="67"/>
      <c r="G220" s="66" t="s">
        <v>174</v>
      </c>
      <c r="H220" s="66"/>
      <c r="I220" s="67">
        <v>300</v>
      </c>
      <c r="J220" s="67"/>
      <c r="K220" s="66" t="s">
        <v>188</v>
      </c>
      <c r="L220" s="66"/>
      <c r="M220" s="67">
        <v>300</v>
      </c>
      <c r="N220" s="67"/>
      <c r="O220" s="66" t="s">
        <v>202</v>
      </c>
      <c r="P220" s="66"/>
      <c r="Q220" s="67">
        <v>300</v>
      </c>
      <c r="R220" s="67"/>
      <c r="S220" s="66" t="s">
        <v>216</v>
      </c>
      <c r="T220" s="66"/>
      <c r="U220" s="67" t="s">
        <v>230</v>
      </c>
      <c r="V220" s="67"/>
      <c r="W220" s="66">
        <v>300</v>
      </c>
      <c r="X220" s="66"/>
      <c r="Y220" s="67" t="s">
        <v>249</v>
      </c>
      <c r="Z220" s="67"/>
      <c r="AA220" t="s">
        <v>37</v>
      </c>
    </row>
    <row r="221" spans="1:27" x14ac:dyDescent="0.25">
      <c r="A221" s="67" t="s">
        <v>135</v>
      </c>
      <c r="B221" s="67"/>
      <c r="C221" s="66" t="s">
        <v>161</v>
      </c>
      <c r="D221" s="66"/>
      <c r="E221" s="67">
        <v>120</v>
      </c>
      <c r="F221" s="67"/>
      <c r="G221" s="66" t="s">
        <v>175</v>
      </c>
      <c r="H221" s="66"/>
      <c r="I221" s="67">
        <v>90</v>
      </c>
      <c r="J221" s="67"/>
      <c r="K221" s="66" t="s">
        <v>189</v>
      </c>
      <c r="L221" s="66"/>
      <c r="M221" s="67">
        <v>120</v>
      </c>
      <c r="N221" s="67"/>
      <c r="O221" s="66" t="s">
        <v>203</v>
      </c>
      <c r="P221" s="66"/>
      <c r="Q221" s="67">
        <v>120</v>
      </c>
      <c r="R221" s="67"/>
      <c r="S221" s="66" t="s">
        <v>217</v>
      </c>
      <c r="T221" s="66"/>
      <c r="U221" s="67" t="s">
        <v>231</v>
      </c>
      <c r="V221" s="67"/>
      <c r="W221" s="66">
        <v>90</v>
      </c>
      <c r="X221" s="66"/>
      <c r="Y221" s="67" t="s">
        <v>250</v>
      </c>
      <c r="Z221" s="67"/>
      <c r="AA221" t="s">
        <v>38</v>
      </c>
    </row>
    <row r="222" spans="1:27" x14ac:dyDescent="0.25">
      <c r="A222" s="67" t="s">
        <v>136</v>
      </c>
      <c r="B222" s="67"/>
      <c r="C222" s="66" t="s">
        <v>162</v>
      </c>
      <c r="D222" s="66"/>
      <c r="E222" s="67" t="s">
        <v>50</v>
      </c>
      <c r="F222" s="67"/>
      <c r="G222" s="66" t="s">
        <v>176</v>
      </c>
      <c r="H222" s="66"/>
      <c r="I222" s="67" t="s">
        <v>50</v>
      </c>
      <c r="J222" s="67"/>
      <c r="K222" s="66" t="s">
        <v>190</v>
      </c>
      <c r="L222" s="66"/>
      <c r="M222" s="67" t="s">
        <v>50</v>
      </c>
      <c r="N222" s="67"/>
      <c r="O222" s="66" t="s">
        <v>204</v>
      </c>
      <c r="P222" s="66"/>
      <c r="Q222" s="67" t="s">
        <v>50</v>
      </c>
      <c r="R222" s="67"/>
      <c r="S222" s="66" t="s">
        <v>218</v>
      </c>
      <c r="T222" s="66"/>
      <c r="U222" s="67" t="s">
        <v>232</v>
      </c>
      <c r="V222" s="67"/>
      <c r="W222" s="66" t="s">
        <v>50</v>
      </c>
      <c r="X222" s="66"/>
      <c r="Y222" s="67" t="s">
        <v>251</v>
      </c>
      <c r="Z222" s="67"/>
      <c r="AA222" t="s">
        <v>39</v>
      </c>
    </row>
    <row r="223" spans="1:27" x14ac:dyDescent="0.25">
      <c r="A223" s="67" t="s">
        <v>137</v>
      </c>
      <c r="B223" s="67"/>
      <c r="C223" s="66" t="s">
        <v>163</v>
      </c>
      <c r="D223" s="66"/>
      <c r="E223" s="67">
        <v>655</v>
      </c>
      <c r="F223" s="67"/>
      <c r="G223" s="66" t="s">
        <v>177</v>
      </c>
      <c r="H223" s="66"/>
      <c r="I223" s="67">
        <v>655</v>
      </c>
      <c r="J223" s="67"/>
      <c r="K223" s="66" t="s">
        <v>191</v>
      </c>
      <c r="L223" s="66"/>
      <c r="M223" s="67">
        <v>655</v>
      </c>
      <c r="N223" s="67"/>
      <c r="O223" s="66" t="s">
        <v>205</v>
      </c>
      <c r="P223" s="66"/>
      <c r="Q223" s="67">
        <v>655</v>
      </c>
      <c r="R223" s="67"/>
      <c r="S223" s="66" t="s">
        <v>219</v>
      </c>
      <c r="T223" s="66"/>
      <c r="U223" s="67" t="s">
        <v>233</v>
      </c>
      <c r="V223" s="67"/>
      <c r="W223" s="66">
        <v>655</v>
      </c>
      <c r="X223" s="66"/>
      <c r="Y223" s="67" t="s">
        <v>252</v>
      </c>
      <c r="Z223" s="67"/>
      <c r="AA223" t="s">
        <v>40</v>
      </c>
    </row>
    <row r="511" spans="1:11" x14ac:dyDescent="0.25">
      <c r="A511" t="s">
        <v>1</v>
      </c>
      <c r="D511" t="s">
        <v>88</v>
      </c>
      <c r="E511" t="s">
        <v>89</v>
      </c>
      <c r="K511" t="s">
        <v>107</v>
      </c>
    </row>
    <row r="512" spans="1:11" x14ac:dyDescent="0.25">
      <c r="A512" t="s">
        <v>120</v>
      </c>
      <c r="D512">
        <v>405</v>
      </c>
      <c r="E512" t="s">
        <v>64</v>
      </c>
      <c r="F512" t="s">
        <v>85</v>
      </c>
      <c r="H512" t="s">
        <v>17</v>
      </c>
      <c r="K512" t="s">
        <v>108</v>
      </c>
    </row>
    <row r="513" spans="1:17" x14ac:dyDescent="0.25">
      <c r="A513" t="s">
        <v>3</v>
      </c>
      <c r="D513">
        <v>453</v>
      </c>
      <c r="E513" t="s">
        <v>65</v>
      </c>
      <c r="F513" t="s">
        <v>50</v>
      </c>
      <c r="G513">
        <v>0</v>
      </c>
      <c r="H513" t="s">
        <v>20</v>
      </c>
      <c r="K513" t="s">
        <v>109</v>
      </c>
    </row>
    <row r="514" spans="1:17" x14ac:dyDescent="0.25">
      <c r="A514" t="s">
        <v>121</v>
      </c>
      <c r="D514">
        <v>454</v>
      </c>
      <c r="E514" t="s">
        <v>66</v>
      </c>
      <c r="F514" t="s">
        <v>52</v>
      </c>
      <c r="G514">
        <v>1</v>
      </c>
      <c r="H514" t="s">
        <v>21</v>
      </c>
      <c r="K514" t="s">
        <v>110</v>
      </c>
    </row>
    <row r="515" spans="1:17" x14ac:dyDescent="0.25">
      <c r="A515" t="s">
        <v>2</v>
      </c>
      <c r="D515">
        <v>455</v>
      </c>
      <c r="E515" t="s">
        <v>67</v>
      </c>
      <c r="G515">
        <v>2</v>
      </c>
      <c r="K515" t="s">
        <v>112</v>
      </c>
      <c r="Q515" t="s">
        <v>111</v>
      </c>
    </row>
    <row r="516" spans="1:17" x14ac:dyDescent="0.25">
      <c r="A516" t="s">
        <v>87</v>
      </c>
      <c r="D516">
        <v>503</v>
      </c>
      <c r="E516" t="s">
        <v>68</v>
      </c>
      <c r="K516" t="s">
        <v>113</v>
      </c>
    </row>
    <row r="517" spans="1:17" x14ac:dyDescent="0.25">
      <c r="A517" t="s">
        <v>9</v>
      </c>
      <c r="D517">
        <v>504</v>
      </c>
      <c r="E517" t="s">
        <v>69</v>
      </c>
      <c r="K517" t="s">
        <v>114</v>
      </c>
    </row>
    <row r="518" spans="1:17" x14ac:dyDescent="0.25">
      <c r="A518" t="s">
        <v>6</v>
      </c>
      <c r="D518">
        <v>505</v>
      </c>
      <c r="E518" t="s">
        <v>70</v>
      </c>
      <c r="K518" t="s">
        <v>115</v>
      </c>
    </row>
    <row r="519" spans="1:17" x14ac:dyDescent="0.25">
      <c r="A519" t="s">
        <v>11</v>
      </c>
      <c r="D519">
        <v>554</v>
      </c>
      <c r="E519" t="s">
        <v>71</v>
      </c>
      <c r="K519" t="s">
        <v>116</v>
      </c>
    </row>
    <row r="520" spans="1:17" x14ac:dyDescent="0.25">
      <c r="A520" t="s">
        <v>4</v>
      </c>
      <c r="D520">
        <v>555</v>
      </c>
      <c r="E520" t="s">
        <v>72</v>
      </c>
      <c r="K520" t="s">
        <v>117</v>
      </c>
    </row>
    <row r="521" spans="1:17" x14ac:dyDescent="0.25">
      <c r="A521" t="s">
        <v>8</v>
      </c>
      <c r="D521">
        <v>556</v>
      </c>
      <c r="E521" t="s">
        <v>73</v>
      </c>
      <c r="K521" t="s">
        <v>118</v>
      </c>
    </row>
    <row r="522" spans="1:17" x14ac:dyDescent="0.25">
      <c r="A522" t="s">
        <v>236</v>
      </c>
      <c r="D522">
        <v>604</v>
      </c>
      <c r="E522" t="s">
        <v>74</v>
      </c>
      <c r="K522" t="s">
        <v>119</v>
      </c>
    </row>
    <row r="523" spans="1:17" x14ac:dyDescent="0.25">
      <c r="A523" t="s">
        <v>7</v>
      </c>
      <c r="D523">
        <v>605</v>
      </c>
      <c r="E523" t="s">
        <v>75</v>
      </c>
    </row>
    <row r="524" spans="1:17" x14ac:dyDescent="0.25">
      <c r="D524">
        <v>606</v>
      </c>
      <c r="E524" t="s">
        <v>76</v>
      </c>
    </row>
    <row r="525" spans="1:17" x14ac:dyDescent="0.25">
      <c r="D525">
        <v>654</v>
      </c>
      <c r="E525" t="s">
        <v>77</v>
      </c>
    </row>
    <row r="526" spans="1:17" x14ac:dyDescent="0.25">
      <c r="D526">
        <v>655</v>
      </c>
      <c r="E526" t="s">
        <v>78</v>
      </c>
    </row>
    <row r="527" spans="1:17" x14ac:dyDescent="0.25">
      <c r="D527">
        <v>656</v>
      </c>
      <c r="E527" t="s">
        <v>79</v>
      </c>
    </row>
    <row r="528" spans="1:17" x14ac:dyDescent="0.25">
      <c r="D528">
        <v>705</v>
      </c>
      <c r="E528" t="s">
        <v>80</v>
      </c>
    </row>
    <row r="529" spans="4:5" x14ac:dyDescent="0.25">
      <c r="D529">
        <v>706</v>
      </c>
      <c r="E529" t="s">
        <v>81</v>
      </c>
    </row>
    <row r="530" spans="4:5" x14ac:dyDescent="0.25">
      <c r="D530">
        <v>755</v>
      </c>
      <c r="E530" t="s">
        <v>82</v>
      </c>
    </row>
    <row r="531" spans="4:5" x14ac:dyDescent="0.25">
      <c r="D531">
        <v>756</v>
      </c>
      <c r="E531" t="s">
        <v>83</v>
      </c>
    </row>
    <row r="532" spans="4:5" x14ac:dyDescent="0.25">
      <c r="D532">
        <v>806</v>
      </c>
      <c r="E532" t="s">
        <v>84</v>
      </c>
    </row>
    <row r="533" spans="4:5" x14ac:dyDescent="0.25">
      <c r="D533">
        <v>808</v>
      </c>
    </row>
    <row r="534" spans="4:5" x14ac:dyDescent="0.25">
      <c r="D534">
        <v>906</v>
      </c>
    </row>
    <row r="535" spans="4:5" x14ac:dyDescent="0.25">
      <c r="D535">
        <v>907</v>
      </c>
    </row>
    <row r="536" spans="4:5" x14ac:dyDescent="0.25">
      <c r="D536">
        <v>908</v>
      </c>
    </row>
    <row r="537" spans="4:5" x14ac:dyDescent="0.25">
      <c r="D537">
        <v>1006</v>
      </c>
    </row>
    <row r="538" spans="4:5" x14ac:dyDescent="0.25">
      <c r="D538">
        <v>1007</v>
      </c>
    </row>
    <row r="539" spans="4:5" x14ac:dyDescent="0.25">
      <c r="D539">
        <v>1008</v>
      </c>
    </row>
    <row r="540" spans="4:5" x14ac:dyDescent="0.25">
      <c r="D540">
        <v>10010</v>
      </c>
    </row>
    <row r="541" spans="4:5" x14ac:dyDescent="0.25">
      <c r="D541">
        <v>1108</v>
      </c>
    </row>
    <row r="542" spans="4:5" x14ac:dyDescent="0.25">
      <c r="D542">
        <v>11010</v>
      </c>
    </row>
    <row r="543" spans="4:5" x14ac:dyDescent="0.25">
      <c r="D543">
        <v>1208</v>
      </c>
    </row>
    <row r="544" spans="4:5" x14ac:dyDescent="0.25">
      <c r="D544">
        <v>12010</v>
      </c>
    </row>
    <row r="545" spans="3:15" x14ac:dyDescent="0.25">
      <c r="D545">
        <v>13010</v>
      </c>
    </row>
    <row r="546" spans="3:15" x14ac:dyDescent="0.25">
      <c r="D546">
        <v>13012</v>
      </c>
    </row>
    <row r="547" spans="3:15" x14ac:dyDescent="0.25">
      <c r="D547">
        <v>15012</v>
      </c>
    </row>
    <row r="549" spans="3:15" x14ac:dyDescent="0.25">
      <c r="C549" t="s">
        <v>92</v>
      </c>
      <c r="G549" s="6"/>
    </row>
    <row r="550" spans="3:15" x14ac:dyDescent="0.25">
      <c r="G550" s="6"/>
    </row>
    <row r="551" spans="3:15" x14ac:dyDescent="0.25">
      <c r="D551" t="s">
        <v>91</v>
      </c>
      <c r="G551" s="6"/>
    </row>
    <row r="552" spans="3:15" x14ac:dyDescent="0.25">
      <c r="C552" t="s">
        <v>90</v>
      </c>
      <c r="G552" s="6"/>
    </row>
    <row r="553" spans="3:15" x14ac:dyDescent="0.25">
      <c r="C553" t="s">
        <v>1</v>
      </c>
      <c r="E553" t="str">
        <f>CONCATENATE(C553,D551,C554,D551,C555,D551,C556)</f>
        <v>IN-4.5M-RIT-MP;IN-6.0M-RIT-CR-MP;IN-6.0M-RIT-CNTR-MP;IN-9.0M-RIT-CR-MP</v>
      </c>
      <c r="G553" s="6"/>
    </row>
    <row r="554" spans="3:15" x14ac:dyDescent="0.25">
      <c r="C554" t="s">
        <v>2</v>
      </c>
      <c r="G554" s="6"/>
    </row>
    <row r="555" spans="3:15" x14ac:dyDescent="0.25">
      <c r="C555" t="s">
        <v>3</v>
      </c>
      <c r="G555" s="6"/>
      <c r="M555" s="107" t="s">
        <v>1</v>
      </c>
      <c r="N555" s="107"/>
      <c r="O555" s="107"/>
    </row>
    <row r="556" spans="3:15" x14ac:dyDescent="0.25">
      <c r="C556" t="s">
        <v>4</v>
      </c>
      <c r="G556" s="6"/>
      <c r="M556" s="2"/>
      <c r="N556" s="2"/>
      <c r="O556" s="2"/>
    </row>
    <row r="557" spans="3:15" x14ac:dyDescent="0.25">
      <c r="C557" t="s">
        <v>5</v>
      </c>
      <c r="G557" s="6"/>
    </row>
    <row r="558" spans="3:15" x14ac:dyDescent="0.25">
      <c r="C558" t="s">
        <v>3</v>
      </c>
      <c r="G558" s="6"/>
      <c r="M558" t="s">
        <v>17</v>
      </c>
    </row>
    <row r="559" spans="3:15" x14ac:dyDescent="0.25">
      <c r="C559" t="s">
        <v>2</v>
      </c>
      <c r="G559" s="6"/>
      <c r="M559" t="s">
        <v>20</v>
      </c>
      <c r="N559" t="s">
        <v>51</v>
      </c>
    </row>
    <row r="560" spans="3:15" x14ac:dyDescent="0.25">
      <c r="C560" t="s">
        <v>6</v>
      </c>
      <c r="G560" s="6"/>
      <c r="M560" t="s">
        <v>21</v>
      </c>
    </row>
    <row r="561" spans="1:14" x14ac:dyDescent="0.25">
      <c r="C561" t="s">
        <v>7</v>
      </c>
      <c r="G561" s="6"/>
    </row>
    <row r="562" spans="1:14" x14ac:dyDescent="0.25">
      <c r="C562" t="s">
        <v>8</v>
      </c>
      <c r="G562" s="6"/>
    </row>
    <row r="563" spans="1:14" x14ac:dyDescent="0.25">
      <c r="C563" t="s">
        <v>9</v>
      </c>
      <c r="G563" s="6"/>
    </row>
    <row r="564" spans="1:14" x14ac:dyDescent="0.25">
      <c r="C564" t="s">
        <v>10</v>
      </c>
      <c r="G564" s="6"/>
      <c r="N564" t="s">
        <v>85</v>
      </c>
    </row>
    <row r="565" spans="1:14" x14ac:dyDescent="0.25">
      <c r="C565" t="s">
        <v>11</v>
      </c>
      <c r="G565" s="6"/>
      <c r="N565" t="s">
        <v>50</v>
      </c>
    </row>
    <row r="566" spans="1:14" x14ac:dyDescent="0.25">
      <c r="G566" s="6"/>
      <c r="N566" t="s">
        <v>52</v>
      </c>
    </row>
    <row r="567" spans="1:14" x14ac:dyDescent="0.25">
      <c r="G567" s="6"/>
    </row>
    <row r="568" spans="1:14" x14ac:dyDescent="0.25">
      <c r="A568" t="s">
        <v>88</v>
      </c>
      <c r="C568" t="s">
        <v>89</v>
      </c>
      <c r="G568" s="6"/>
    </row>
    <row r="569" spans="1:14" x14ac:dyDescent="0.25">
      <c r="A569">
        <v>405</v>
      </c>
      <c r="C569" t="s">
        <v>64</v>
      </c>
      <c r="G569" s="6"/>
      <c r="I569" s="6"/>
      <c r="K569">
        <v>0</v>
      </c>
    </row>
    <row r="570" spans="1:14" x14ac:dyDescent="0.25">
      <c r="A570">
        <v>453</v>
      </c>
      <c r="C570" t="s">
        <v>65</v>
      </c>
      <c r="G570" s="6"/>
      <c r="I570" s="6"/>
      <c r="K570">
        <v>1</v>
      </c>
    </row>
    <row r="571" spans="1:14" x14ac:dyDescent="0.25">
      <c r="A571">
        <v>454</v>
      </c>
      <c r="C571" t="s">
        <v>66</v>
      </c>
      <c r="G571" s="6"/>
      <c r="I571" s="6"/>
      <c r="K571">
        <v>2</v>
      </c>
    </row>
    <row r="572" spans="1:14" x14ac:dyDescent="0.25">
      <c r="A572">
        <v>455</v>
      </c>
      <c r="C572" t="s">
        <v>67</v>
      </c>
      <c r="G572" s="6"/>
      <c r="I572" s="6"/>
    </row>
    <row r="573" spans="1:14" x14ac:dyDescent="0.25">
      <c r="A573">
        <v>503</v>
      </c>
      <c r="C573" t="s">
        <v>68</v>
      </c>
      <c r="G573" s="6"/>
      <c r="I573" s="6"/>
    </row>
    <row r="574" spans="1:14" x14ac:dyDescent="0.25">
      <c r="A574">
        <v>504</v>
      </c>
      <c r="C574" t="s">
        <v>69</v>
      </c>
      <c r="G574" s="6"/>
      <c r="I574" s="6"/>
    </row>
    <row r="575" spans="1:14" x14ac:dyDescent="0.25">
      <c r="A575">
        <v>505</v>
      </c>
      <c r="C575" t="s">
        <v>70</v>
      </c>
      <c r="G575" s="6"/>
      <c r="I575" s="6"/>
    </row>
    <row r="576" spans="1:14" x14ac:dyDescent="0.25">
      <c r="A576">
        <v>554</v>
      </c>
      <c r="C576" t="s">
        <v>71</v>
      </c>
      <c r="G576" s="6"/>
      <c r="I576" s="6"/>
    </row>
    <row r="577" spans="1:9" x14ac:dyDescent="0.25">
      <c r="A577">
        <v>555</v>
      </c>
      <c r="C577" t="s">
        <v>72</v>
      </c>
      <c r="G577" s="6"/>
      <c r="I577" s="6"/>
    </row>
    <row r="578" spans="1:9" x14ac:dyDescent="0.25">
      <c r="A578">
        <v>556</v>
      </c>
      <c r="C578" t="s">
        <v>73</v>
      </c>
      <c r="G578" s="6"/>
      <c r="I578" s="6"/>
    </row>
    <row r="579" spans="1:9" x14ac:dyDescent="0.25">
      <c r="A579">
        <v>604</v>
      </c>
      <c r="C579" t="s">
        <v>74</v>
      </c>
      <c r="G579" s="6"/>
      <c r="I579" s="6"/>
    </row>
    <row r="580" spans="1:9" x14ac:dyDescent="0.25">
      <c r="A580">
        <v>605</v>
      </c>
      <c r="C580" t="s">
        <v>75</v>
      </c>
      <c r="G580" s="6"/>
      <c r="I580" s="6"/>
    </row>
    <row r="581" spans="1:9" x14ac:dyDescent="0.25">
      <c r="A581">
        <v>606</v>
      </c>
      <c r="C581" t="s">
        <v>76</v>
      </c>
      <c r="G581" s="6"/>
      <c r="I581" s="6"/>
    </row>
    <row r="582" spans="1:9" x14ac:dyDescent="0.25">
      <c r="A582">
        <v>654</v>
      </c>
      <c r="C582" t="s">
        <v>77</v>
      </c>
      <c r="G582" s="6"/>
      <c r="I582" s="6"/>
    </row>
    <row r="583" spans="1:9" x14ac:dyDescent="0.25">
      <c r="A583">
        <v>655</v>
      </c>
      <c r="C583" t="s">
        <v>78</v>
      </c>
      <c r="G583" s="6"/>
      <c r="I583" s="6"/>
    </row>
    <row r="584" spans="1:9" x14ac:dyDescent="0.25">
      <c r="A584">
        <v>656</v>
      </c>
      <c r="C584" t="s">
        <v>79</v>
      </c>
      <c r="G584" s="6"/>
      <c r="I584" s="6"/>
    </row>
    <row r="585" spans="1:9" x14ac:dyDescent="0.25">
      <c r="A585">
        <v>705</v>
      </c>
      <c r="C585" t="s">
        <v>80</v>
      </c>
      <c r="G585" s="6"/>
      <c r="I585" s="6"/>
    </row>
    <row r="586" spans="1:9" x14ac:dyDescent="0.25">
      <c r="A586">
        <v>706</v>
      </c>
      <c r="C586" t="s">
        <v>81</v>
      </c>
      <c r="G586" s="6"/>
      <c r="I586" s="6"/>
    </row>
    <row r="587" spans="1:9" x14ac:dyDescent="0.25">
      <c r="A587">
        <v>755</v>
      </c>
      <c r="C587" t="s">
        <v>82</v>
      </c>
      <c r="G587" s="6"/>
      <c r="I587" s="6"/>
    </row>
    <row r="588" spans="1:9" x14ac:dyDescent="0.25">
      <c r="A588">
        <v>756</v>
      </c>
      <c r="C588" t="s">
        <v>83</v>
      </c>
      <c r="G588" s="6"/>
      <c r="I588" s="6"/>
    </row>
    <row r="589" spans="1:9" x14ac:dyDescent="0.25">
      <c r="A589">
        <v>806</v>
      </c>
      <c r="C589" t="s">
        <v>84</v>
      </c>
      <c r="G589" s="6"/>
      <c r="I589" s="6"/>
    </row>
    <row r="590" spans="1:9" x14ac:dyDescent="0.25">
      <c r="A590">
        <v>808</v>
      </c>
      <c r="G590" s="6"/>
      <c r="I590" s="6"/>
    </row>
    <row r="591" spans="1:9" x14ac:dyDescent="0.25">
      <c r="A591">
        <v>906</v>
      </c>
      <c r="G591" s="6"/>
      <c r="I591" s="6"/>
    </row>
    <row r="592" spans="1:9" x14ac:dyDescent="0.25">
      <c r="A592">
        <v>907</v>
      </c>
      <c r="G592" s="6"/>
      <c r="I592" s="6"/>
    </row>
    <row r="593" spans="1:9" x14ac:dyDescent="0.25">
      <c r="A593">
        <v>908</v>
      </c>
      <c r="G593" s="6"/>
      <c r="I593" s="6"/>
    </row>
    <row r="594" spans="1:9" x14ac:dyDescent="0.25">
      <c r="A594">
        <v>1006</v>
      </c>
      <c r="G594" s="6"/>
      <c r="I594" s="6"/>
    </row>
    <row r="595" spans="1:9" x14ac:dyDescent="0.25">
      <c r="A595">
        <v>1007</v>
      </c>
      <c r="G595" s="6"/>
      <c r="I595" s="6"/>
    </row>
    <row r="596" spans="1:9" x14ac:dyDescent="0.25">
      <c r="A596">
        <v>1008</v>
      </c>
      <c r="G596" s="6"/>
      <c r="I596" s="6"/>
    </row>
    <row r="597" spans="1:9" x14ac:dyDescent="0.25">
      <c r="A597">
        <v>10010</v>
      </c>
      <c r="G597" s="6"/>
      <c r="I597" s="6"/>
    </row>
    <row r="598" spans="1:9" x14ac:dyDescent="0.25">
      <c r="A598">
        <v>1108</v>
      </c>
      <c r="G598" s="6"/>
      <c r="I598" s="6"/>
    </row>
    <row r="599" spans="1:9" x14ac:dyDescent="0.25">
      <c r="A599">
        <v>11010</v>
      </c>
      <c r="G599" s="6"/>
      <c r="I599" s="6"/>
    </row>
    <row r="600" spans="1:9" x14ac:dyDescent="0.25">
      <c r="A600">
        <v>1208</v>
      </c>
      <c r="G600" s="6"/>
      <c r="I600" s="6"/>
    </row>
    <row r="601" spans="1:9" x14ac:dyDescent="0.25">
      <c r="A601">
        <v>12010</v>
      </c>
      <c r="G601" s="6"/>
      <c r="I601" s="6"/>
    </row>
    <row r="602" spans="1:9" x14ac:dyDescent="0.25">
      <c r="A602">
        <v>13010</v>
      </c>
      <c r="G602" s="6"/>
      <c r="I602" s="6"/>
    </row>
    <row r="603" spans="1:9" x14ac:dyDescent="0.25">
      <c r="A603">
        <v>13012</v>
      </c>
      <c r="G603" s="6"/>
      <c r="I603" s="6"/>
    </row>
    <row r="604" spans="1:9" x14ac:dyDescent="0.25">
      <c r="A604">
        <v>15012</v>
      </c>
      <c r="G604" s="6"/>
      <c r="I604" s="6"/>
    </row>
    <row r="605" spans="1:9" x14ac:dyDescent="0.25">
      <c r="G605" s="6"/>
      <c r="I605" s="6"/>
    </row>
    <row r="606" spans="1:9" x14ac:dyDescent="0.25">
      <c r="G606" s="6"/>
      <c r="I606" s="6"/>
    </row>
    <row r="607" spans="1:9" x14ac:dyDescent="0.25">
      <c r="G607" s="6"/>
      <c r="I607" s="6"/>
    </row>
    <row r="608" spans="1:9" x14ac:dyDescent="0.25">
      <c r="G608" s="6"/>
      <c r="I608" s="6"/>
    </row>
  </sheetData>
  <sheetProtection formatCells="0" formatColumns="0" formatRows="0" insertColumns="0" insertRows="0" deleteColumns="0" deleteRows="0"/>
  <sortState ref="G186:G198">
    <sortCondition ref="G186"/>
  </sortState>
  <mergeCells count="254">
    <mergeCell ref="U222:V222"/>
    <mergeCell ref="W222:X222"/>
    <mergeCell ref="Y222:Z222"/>
    <mergeCell ref="A223:B223"/>
    <mergeCell ref="C223:D223"/>
    <mergeCell ref="E223:F223"/>
    <mergeCell ref="G223:H223"/>
    <mergeCell ref="I223:J223"/>
    <mergeCell ref="K223:L223"/>
    <mergeCell ref="M223:N223"/>
    <mergeCell ref="O223:P223"/>
    <mergeCell ref="Q223:R223"/>
    <mergeCell ref="S223:T223"/>
    <mergeCell ref="U223:V223"/>
    <mergeCell ref="W223:X223"/>
    <mergeCell ref="Y223:Z223"/>
    <mergeCell ref="K222:L222"/>
    <mergeCell ref="M222:N222"/>
    <mergeCell ref="O222:P222"/>
    <mergeCell ref="Q222:R222"/>
    <mergeCell ref="S222:T222"/>
    <mergeCell ref="A222:B222"/>
    <mergeCell ref="C222:D222"/>
    <mergeCell ref="E222:F222"/>
    <mergeCell ref="G222:H222"/>
    <mergeCell ref="I222:J222"/>
    <mergeCell ref="U220:V220"/>
    <mergeCell ref="W220:X220"/>
    <mergeCell ref="Y220:Z220"/>
    <mergeCell ref="A221:B221"/>
    <mergeCell ref="C221:D221"/>
    <mergeCell ref="E221:F221"/>
    <mergeCell ref="G221:H221"/>
    <mergeCell ref="I221:J221"/>
    <mergeCell ref="K221:L221"/>
    <mergeCell ref="M221:N221"/>
    <mergeCell ref="O221:P221"/>
    <mergeCell ref="Q221:R221"/>
    <mergeCell ref="S221:T221"/>
    <mergeCell ref="U221:V221"/>
    <mergeCell ref="W221:X221"/>
    <mergeCell ref="Y221:Z221"/>
    <mergeCell ref="K220:L220"/>
    <mergeCell ref="M220:N220"/>
    <mergeCell ref="O220:P220"/>
    <mergeCell ref="Q220:R220"/>
    <mergeCell ref="S220:T220"/>
    <mergeCell ref="A220:B220"/>
    <mergeCell ref="C220:D220"/>
    <mergeCell ref="E220:F220"/>
    <mergeCell ref="G220:H220"/>
    <mergeCell ref="I220:J220"/>
    <mergeCell ref="U218:V218"/>
    <mergeCell ref="W218:X218"/>
    <mergeCell ref="Y218:Z218"/>
    <mergeCell ref="A219:B219"/>
    <mergeCell ref="C219:D219"/>
    <mergeCell ref="E219:F219"/>
    <mergeCell ref="G219:H219"/>
    <mergeCell ref="I219:J219"/>
    <mergeCell ref="K219:L219"/>
    <mergeCell ref="M219:N219"/>
    <mergeCell ref="O219:P219"/>
    <mergeCell ref="Q219:R219"/>
    <mergeCell ref="S219:T219"/>
    <mergeCell ref="U219:V219"/>
    <mergeCell ref="W219:X219"/>
    <mergeCell ref="Y219:Z219"/>
    <mergeCell ref="K218:L218"/>
    <mergeCell ref="M218:N218"/>
    <mergeCell ref="O218:P218"/>
    <mergeCell ref="Q218:R218"/>
    <mergeCell ref="S218:T218"/>
    <mergeCell ref="A218:B218"/>
    <mergeCell ref="C218:D218"/>
    <mergeCell ref="E218:F218"/>
    <mergeCell ref="G218:H218"/>
    <mergeCell ref="I218:J218"/>
    <mergeCell ref="U216:V216"/>
    <mergeCell ref="W216:X216"/>
    <mergeCell ref="Y216:Z216"/>
    <mergeCell ref="A217:B217"/>
    <mergeCell ref="C217:D217"/>
    <mergeCell ref="E217:F217"/>
    <mergeCell ref="G217:H217"/>
    <mergeCell ref="I217:J217"/>
    <mergeCell ref="K217:L217"/>
    <mergeCell ref="M217:N217"/>
    <mergeCell ref="O217:P217"/>
    <mergeCell ref="Q217:R217"/>
    <mergeCell ref="S217:T217"/>
    <mergeCell ref="U217:V217"/>
    <mergeCell ref="W217:X217"/>
    <mergeCell ref="Y217:Z217"/>
    <mergeCell ref="K216:L216"/>
    <mergeCell ref="M216:N216"/>
    <mergeCell ref="O216:P216"/>
    <mergeCell ref="Q216:R216"/>
    <mergeCell ref="S216:T216"/>
    <mergeCell ref="A216:B216"/>
    <mergeCell ref="C216:D216"/>
    <mergeCell ref="E216:F216"/>
    <mergeCell ref="G216:H216"/>
    <mergeCell ref="I216:J216"/>
    <mergeCell ref="U214:V214"/>
    <mergeCell ref="I214:J214"/>
    <mergeCell ref="W214:X214"/>
    <mergeCell ref="Y214:Z214"/>
    <mergeCell ref="A215:B215"/>
    <mergeCell ref="C215:D215"/>
    <mergeCell ref="E215:F215"/>
    <mergeCell ref="G215:H215"/>
    <mergeCell ref="I215:J215"/>
    <mergeCell ref="K215:L215"/>
    <mergeCell ref="M215:N215"/>
    <mergeCell ref="O215:P215"/>
    <mergeCell ref="Q215:R215"/>
    <mergeCell ref="S215:T215"/>
    <mergeCell ref="U215:V215"/>
    <mergeCell ref="W215:X215"/>
    <mergeCell ref="Y215:Z215"/>
    <mergeCell ref="K214:L214"/>
    <mergeCell ref="M214:N214"/>
    <mergeCell ref="O214:P214"/>
    <mergeCell ref="Q214:R214"/>
    <mergeCell ref="S214:T214"/>
    <mergeCell ref="A214:B214"/>
    <mergeCell ref="C214:D214"/>
    <mergeCell ref="E214:F214"/>
    <mergeCell ref="G214:H214"/>
    <mergeCell ref="S213:T213"/>
    <mergeCell ref="U213:V213"/>
    <mergeCell ref="W213:X213"/>
    <mergeCell ref="Y213:Z213"/>
    <mergeCell ref="M212:N212"/>
    <mergeCell ref="O212:P212"/>
    <mergeCell ref="Q212:R212"/>
    <mergeCell ref="S212:T212"/>
    <mergeCell ref="U212:V212"/>
    <mergeCell ref="A213:B213"/>
    <mergeCell ref="C213:D213"/>
    <mergeCell ref="E213:F213"/>
    <mergeCell ref="G213:H213"/>
    <mergeCell ref="I213:J213"/>
    <mergeCell ref="K213:L213"/>
    <mergeCell ref="M213:N213"/>
    <mergeCell ref="O213:P213"/>
    <mergeCell ref="Q213:R213"/>
    <mergeCell ref="I209:J209"/>
    <mergeCell ref="I212:J212"/>
    <mergeCell ref="Y210:Z210"/>
    <mergeCell ref="A211:B211"/>
    <mergeCell ref="C211:D211"/>
    <mergeCell ref="E211:F211"/>
    <mergeCell ref="G211:H211"/>
    <mergeCell ref="I211:J211"/>
    <mergeCell ref="K211:L211"/>
    <mergeCell ref="M211:N211"/>
    <mergeCell ref="O211:P211"/>
    <mergeCell ref="Q211:R211"/>
    <mergeCell ref="S211:T211"/>
    <mergeCell ref="U211:V211"/>
    <mergeCell ref="W211:X211"/>
    <mergeCell ref="Y211:Z211"/>
    <mergeCell ref="W212:X212"/>
    <mergeCell ref="Y212:Z212"/>
    <mergeCell ref="A212:B212"/>
    <mergeCell ref="C212:D212"/>
    <mergeCell ref="E212:F212"/>
    <mergeCell ref="G212:H212"/>
    <mergeCell ref="S208:T208"/>
    <mergeCell ref="U208:V208"/>
    <mergeCell ref="W208:X208"/>
    <mergeCell ref="Y208:Z208"/>
    <mergeCell ref="S209:T209"/>
    <mergeCell ref="U209:V209"/>
    <mergeCell ref="W209:X209"/>
    <mergeCell ref="Y209:Z209"/>
    <mergeCell ref="A210:B210"/>
    <mergeCell ref="C210:D210"/>
    <mergeCell ref="E210:F210"/>
    <mergeCell ref="G210:H210"/>
    <mergeCell ref="I210:J210"/>
    <mergeCell ref="K210:L210"/>
    <mergeCell ref="M210:N210"/>
    <mergeCell ref="O210:P210"/>
    <mergeCell ref="Q210:R210"/>
    <mergeCell ref="S210:T210"/>
    <mergeCell ref="U210:V210"/>
    <mergeCell ref="W210:X210"/>
    <mergeCell ref="A209:B209"/>
    <mergeCell ref="C209:D209"/>
    <mergeCell ref="E209:F209"/>
    <mergeCell ref="G209:H209"/>
    <mergeCell ref="A208:B208"/>
    <mergeCell ref="C208:D208"/>
    <mergeCell ref="E208:F208"/>
    <mergeCell ref="G208:H208"/>
    <mergeCell ref="I208:J208"/>
    <mergeCell ref="K208:L208"/>
    <mergeCell ref="M208:N208"/>
    <mergeCell ref="O208:P208"/>
    <mergeCell ref="Q208:R208"/>
    <mergeCell ref="G206:H206"/>
    <mergeCell ref="I206:J206"/>
    <mergeCell ref="Y207:Z207"/>
    <mergeCell ref="S206:T206"/>
    <mergeCell ref="A207:B207"/>
    <mergeCell ref="C207:D207"/>
    <mergeCell ref="E207:F207"/>
    <mergeCell ref="G207:H207"/>
    <mergeCell ref="I207:J207"/>
    <mergeCell ref="K207:L207"/>
    <mergeCell ref="M207:N207"/>
    <mergeCell ref="O207:P207"/>
    <mergeCell ref="Q207:R207"/>
    <mergeCell ref="A58:F58"/>
    <mergeCell ref="G58:L58"/>
    <mergeCell ref="M58:R58"/>
    <mergeCell ref="S58:X58"/>
    <mergeCell ref="Y58:AD58"/>
    <mergeCell ref="M555:O555"/>
    <mergeCell ref="K206:L206"/>
    <mergeCell ref="M206:N206"/>
    <mergeCell ref="O206:P206"/>
    <mergeCell ref="Q206:R206"/>
    <mergeCell ref="K209:L209"/>
    <mergeCell ref="M209:N209"/>
    <mergeCell ref="O209:P209"/>
    <mergeCell ref="Q209:R209"/>
    <mergeCell ref="K212:L212"/>
    <mergeCell ref="U206:V206"/>
    <mergeCell ref="W206:X206"/>
    <mergeCell ref="Y206:Z206"/>
    <mergeCell ref="S207:T207"/>
    <mergeCell ref="U207:V207"/>
    <mergeCell ref="W207:X207"/>
    <mergeCell ref="A206:B206"/>
    <mergeCell ref="C206:D206"/>
    <mergeCell ref="E206:F206"/>
    <mergeCell ref="N8:Q9"/>
    <mergeCell ref="R8:R9"/>
    <mergeCell ref="N13:Q14"/>
    <mergeCell ref="R13:R14"/>
    <mergeCell ref="I2:J2"/>
    <mergeCell ref="A5:C5"/>
    <mergeCell ref="A33:C33"/>
    <mergeCell ref="C3:D3"/>
    <mergeCell ref="E3:G3"/>
    <mergeCell ref="L8:L9"/>
    <mergeCell ref="L13:L14"/>
    <mergeCell ref="H8:K9"/>
    <mergeCell ref="H13:K14"/>
    <mergeCell ref="I3:J3"/>
  </mergeCells>
  <conditionalFormatting sqref="A524:A537">
    <cfRule type="duplicateValues" dxfId="12" priority="15"/>
  </conditionalFormatting>
  <conditionalFormatting sqref="J510:O514 K515:K518 L515:O519 Q515 J515:J519">
    <cfRule type="duplicateValues" dxfId="11" priority="14"/>
  </conditionalFormatting>
  <conditionalFormatting sqref="A525:A532">
    <cfRule type="duplicateValues" dxfId="10" priority="13"/>
  </conditionalFormatting>
  <conditionalFormatting sqref="K511:K523">
    <cfRule type="duplicateValues" dxfId="9" priority="12"/>
  </conditionalFormatting>
  <conditionalFormatting sqref="D186:D193">
    <cfRule type="duplicateValues" dxfId="8" priority="9"/>
  </conditionalFormatting>
  <conditionalFormatting sqref="D186:D197">
    <cfRule type="duplicateValues" dxfId="7" priority="8"/>
  </conditionalFormatting>
  <conditionalFormatting sqref="K511:K522">
    <cfRule type="duplicateValues" dxfId="6" priority="7"/>
  </conditionalFormatting>
  <conditionalFormatting sqref="G198">
    <cfRule type="duplicateValues" dxfId="5" priority="6"/>
  </conditionalFormatting>
  <conditionalFormatting sqref="G186:G193">
    <cfRule type="duplicateValues" dxfId="4" priority="5"/>
  </conditionalFormatting>
  <conditionalFormatting sqref="G186:G198">
    <cfRule type="duplicateValues" dxfId="3" priority="4"/>
  </conditionalFormatting>
  <conditionalFormatting sqref="A523">
    <cfRule type="duplicateValues" dxfId="2" priority="3"/>
  </conditionalFormatting>
  <conditionalFormatting sqref="A511:A518">
    <cfRule type="duplicateValues" dxfId="1" priority="2"/>
  </conditionalFormatting>
  <conditionalFormatting sqref="A511:A523">
    <cfRule type="duplicateValues" dxfId="0" priority="1"/>
  </conditionalFormatting>
  <dataValidations disablePrompts="1" count="9">
    <dataValidation type="list" allowBlank="1" showInputMessage="1" showErrorMessage="1" sqref="H513:H514 F511 M559:M560">
      <formula1>bolts_type</formula1>
    </dataValidation>
    <dataValidation type="list" allowBlank="1" showInputMessage="1" showErrorMessage="1" sqref="L16 R11 L11 F19 R16 L26 L31 R31 R26 F29">
      <formula1>INDIRECT(SUBSTITUTE(F10," ",""))</formula1>
    </dataValidation>
    <dataValidation type="list" allowBlank="1" showInputMessage="1" showErrorMessage="1" sqref="L15 L10 R15 R10 F18 L30 L25 R30 R25 F28">
      <formula1>sections</formula1>
    </dataValidation>
    <dataValidation type="list" allowBlank="1" showInputMessage="1" showErrorMessage="1" sqref="R7 L7 L569 L22 R22">
      <formula1>num_opt</formula1>
    </dataValidation>
    <dataValidation type="list" allowBlank="1" showInputMessage="1" showErrorMessage="1" error="please select right data" promptTitle="Select design name" sqref="E3:G3 H553:H565 M555:O555">
      <formula1>design_name_opt</formula1>
    </dataValidation>
    <dataValidation type="list" allowBlank="1" showInputMessage="1" showErrorMessage="1" sqref="G512 N560:N561">
      <formula1>member_type</formula1>
    </dataValidation>
    <dataValidation type="list" allowBlank="1" showInputMessage="1" showErrorMessage="1" sqref="F7">
      <formula1>$H$513:$H$514</formula1>
    </dataValidation>
    <dataValidation type="list" allowBlank="1" showInputMessage="1" showErrorMessage="1" sqref="F11">
      <formula1>$G$513:$G$515</formula1>
    </dataValidation>
    <dataValidation type="list" allowBlank="1" showInputMessage="1" showErrorMessage="1" sqref="J569">
      <formula1>profile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SPOLE" altText="_x000a_Generate Script">
                <anchor moveWithCells="1" sizeWithCells="1">
                  <from>
                    <xdr:col>13</xdr:col>
                    <xdr:colOff>200025</xdr:colOff>
                    <xdr:row>2</xdr:row>
                    <xdr:rowOff>66675</xdr:rowOff>
                  </from>
                  <to>
                    <xdr:col>16</xdr:col>
                    <xdr:colOff>66675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POLE</vt:lpstr>
      <vt:lpstr>Sheet2</vt:lpstr>
      <vt:lpstr>Sheet1</vt:lpstr>
      <vt:lpstr>POLE!A</vt:lpstr>
      <vt:lpstr>A</vt:lpstr>
      <vt:lpstr>POLE!design_name_opt</vt:lpstr>
      <vt:lpstr>design_name_opt</vt:lpstr>
      <vt:lpstr>POLE!num_opt</vt:lpstr>
      <vt:lpstr>num_opt</vt:lpstr>
      <vt:lpstr>POLE!P</vt:lpstr>
      <vt:lpstr>P</vt:lpstr>
      <vt:lpstr>POLE!sections</vt:lpstr>
      <vt:lpstr>sections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T Venkateswararao</dc:creator>
  <cp:lastModifiedBy>K T Venkateswararao</cp:lastModifiedBy>
  <dcterms:created xsi:type="dcterms:W3CDTF">2016-11-23T04:30:49Z</dcterms:created>
  <dcterms:modified xsi:type="dcterms:W3CDTF">2017-06-12T06:04:45Z</dcterms:modified>
</cp:coreProperties>
</file>